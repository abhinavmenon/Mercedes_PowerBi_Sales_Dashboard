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taharies/Downloads/"/>
    </mc:Choice>
  </mc:AlternateContent>
  <xr:revisionPtr revIDLastSave="0" documentId="8_{738DBE9C-0AD4-C94E-902D-07E5D2C1CE62}" xr6:coauthVersionLast="47" xr6:coauthVersionMax="47" xr10:uidLastSave="{00000000-0000-0000-0000-000000000000}"/>
  <bookViews>
    <workbookView xWindow="15100" yWindow="680" windowWidth="15140" windowHeight="17340" xr2:uid="{95BBA634-9AA9-AB4D-9064-6AD6BE7EB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3" i="1" a="1"/>
  <c r="O3" i="1" s="1"/>
  <c r="N4" i="1" a="1"/>
  <c r="N4" i="1" s="1"/>
  <c r="M4" i="1" s="1"/>
  <c r="N5" i="1" a="1"/>
  <c r="N5" i="1" s="1"/>
  <c r="M5" i="1" s="1"/>
  <c r="N6" i="1" a="1"/>
  <c r="N6" i="1" s="1"/>
  <c r="M6" i="1" s="1"/>
  <c r="N7" i="1" a="1"/>
  <c r="N7" i="1" s="1"/>
  <c r="M7" i="1" s="1"/>
  <c r="N8" i="1" a="1"/>
  <c r="N8" i="1" s="1"/>
  <c r="M8" i="1" s="1"/>
  <c r="N9" i="1" a="1"/>
  <c r="N9" i="1" s="1"/>
  <c r="M9" i="1" s="1"/>
  <c r="N10" i="1" a="1"/>
  <c r="N10" i="1" s="1"/>
  <c r="M10" i="1" s="1"/>
  <c r="N11" i="1" a="1"/>
  <c r="N11" i="1" s="1"/>
  <c r="M11" i="1" s="1"/>
  <c r="N12" i="1" a="1"/>
  <c r="N12" i="1" s="1"/>
  <c r="M12" i="1" s="1"/>
  <c r="N13" i="1" a="1"/>
  <c r="N13" i="1" s="1"/>
  <c r="M13" i="1" s="1"/>
  <c r="N14" i="1" a="1"/>
  <c r="N14" i="1" s="1"/>
  <c r="M14" i="1" s="1"/>
  <c r="N15" i="1" a="1"/>
  <c r="N15" i="1" s="1"/>
  <c r="M15" i="1" s="1"/>
  <c r="N16" i="1" a="1"/>
  <c r="N16" i="1" s="1"/>
  <c r="M16" i="1" s="1"/>
  <c r="N17" i="1" a="1"/>
  <c r="N17" i="1" s="1"/>
  <c r="M17" i="1" s="1"/>
  <c r="N18" i="1" a="1"/>
  <c r="N18" i="1" s="1"/>
  <c r="M18" i="1" s="1"/>
  <c r="N19" i="1" a="1"/>
  <c r="N19" i="1" s="1"/>
  <c r="M19" i="1" s="1"/>
  <c r="N20" i="1" a="1"/>
  <c r="N20" i="1" s="1"/>
  <c r="M20" i="1" s="1"/>
  <c r="N21" i="1" a="1"/>
  <c r="N21" i="1" s="1"/>
  <c r="M21" i="1" s="1"/>
  <c r="N22" i="1" a="1"/>
  <c r="N22" i="1" s="1"/>
  <c r="M22" i="1" s="1"/>
  <c r="N23" i="1" a="1"/>
  <c r="N23" i="1" s="1"/>
  <c r="M23" i="1" s="1"/>
  <c r="N24" i="1" a="1"/>
  <c r="N24" i="1" s="1"/>
  <c r="M24" i="1" s="1"/>
  <c r="N25" i="1" a="1"/>
  <c r="N25" i="1" s="1"/>
  <c r="M25" i="1" s="1"/>
  <c r="N26" i="1" a="1"/>
  <c r="N26" i="1" s="1"/>
  <c r="M26" i="1" s="1"/>
  <c r="N27" i="1" a="1"/>
  <c r="N27" i="1" s="1"/>
  <c r="M27" i="1" s="1"/>
  <c r="N28" i="1" a="1"/>
  <c r="N28" i="1" s="1"/>
  <c r="M28" i="1" s="1"/>
  <c r="N29" i="1" a="1"/>
  <c r="N29" i="1" s="1"/>
  <c r="M29" i="1" s="1"/>
  <c r="N30" i="1" a="1"/>
  <c r="N30" i="1" s="1"/>
  <c r="M30" i="1" s="1"/>
  <c r="N31" i="1" a="1"/>
  <c r="N31" i="1" s="1"/>
  <c r="M31" i="1" s="1"/>
  <c r="N32" i="1" a="1"/>
  <c r="N32" i="1" s="1"/>
  <c r="M32" i="1" s="1"/>
  <c r="N33" i="1" a="1"/>
  <c r="N33" i="1" s="1"/>
  <c r="M33" i="1" s="1"/>
  <c r="N34" i="1" a="1"/>
  <c r="N34" i="1" s="1"/>
  <c r="M34" i="1" s="1"/>
  <c r="N35" i="1" a="1"/>
  <c r="N35" i="1" s="1"/>
  <c r="M35" i="1" s="1"/>
  <c r="N36" i="1" a="1"/>
  <c r="N36" i="1" s="1"/>
  <c r="M36" i="1" s="1"/>
  <c r="N37" i="1" a="1"/>
  <c r="N37" i="1" s="1"/>
  <c r="M37" i="1" s="1"/>
  <c r="N38" i="1" a="1"/>
  <c r="N38" i="1" s="1"/>
  <c r="M38" i="1" s="1"/>
  <c r="N39" i="1" a="1"/>
  <c r="N39" i="1" s="1"/>
  <c r="M39" i="1" s="1"/>
  <c r="N40" i="1" a="1"/>
  <c r="N40" i="1" s="1"/>
  <c r="M40" i="1" s="1"/>
  <c r="N41" i="1" a="1"/>
  <c r="N41" i="1" s="1"/>
  <c r="M41" i="1" s="1"/>
  <c r="N42" i="1" a="1"/>
  <c r="N42" i="1" s="1"/>
  <c r="M42" i="1" s="1"/>
  <c r="N43" i="1" a="1"/>
  <c r="N43" i="1" s="1"/>
  <c r="M43" i="1" s="1"/>
  <c r="N44" i="1" a="1"/>
  <c r="N44" i="1" s="1"/>
  <c r="M44" i="1" s="1"/>
  <c r="N45" i="1" a="1"/>
  <c r="N45" i="1" s="1"/>
  <c r="M45" i="1" s="1"/>
  <c r="N46" i="1" a="1"/>
  <c r="N46" i="1" s="1"/>
  <c r="M46" i="1" s="1"/>
  <c r="N47" i="1" a="1"/>
  <c r="N47" i="1" s="1"/>
  <c r="M47" i="1" s="1"/>
  <c r="N48" i="1" a="1"/>
  <c r="N48" i="1" s="1"/>
  <c r="M48" i="1" s="1"/>
  <c r="N49" i="1" a="1"/>
  <c r="N49" i="1" s="1"/>
  <c r="M49" i="1" s="1"/>
  <c r="N50" i="1" a="1"/>
  <c r="N50" i="1" s="1"/>
  <c r="M50" i="1" s="1"/>
  <c r="N51" i="1" a="1"/>
  <c r="N51" i="1" s="1"/>
  <c r="M51" i="1" s="1"/>
  <c r="N52" i="1" a="1"/>
  <c r="N52" i="1" s="1"/>
  <c r="M52" i="1" s="1"/>
  <c r="N53" i="1" a="1"/>
  <c r="N53" i="1" s="1"/>
  <c r="M53" i="1" s="1"/>
  <c r="N54" i="1" a="1"/>
  <c r="N54" i="1" s="1"/>
  <c r="M54" i="1" s="1"/>
  <c r="N55" i="1" a="1"/>
  <c r="N55" i="1" s="1"/>
  <c r="M55" i="1" s="1"/>
  <c r="N56" i="1" a="1"/>
  <c r="N56" i="1" s="1"/>
  <c r="M56" i="1" s="1"/>
  <c r="N57" i="1" a="1"/>
  <c r="N57" i="1" s="1"/>
  <c r="M57" i="1" s="1"/>
  <c r="N58" i="1" a="1"/>
  <c r="N58" i="1" s="1"/>
  <c r="M58" i="1" s="1"/>
  <c r="N59" i="1" a="1"/>
  <c r="N59" i="1" s="1"/>
  <c r="M59" i="1" s="1"/>
  <c r="N60" i="1" a="1"/>
  <c r="N60" i="1" s="1"/>
  <c r="M60" i="1" s="1"/>
  <c r="N61" i="1" a="1"/>
  <c r="N61" i="1" s="1"/>
  <c r="M61" i="1" s="1"/>
  <c r="N62" i="1" a="1"/>
  <c r="N62" i="1" s="1"/>
  <c r="M62" i="1" s="1"/>
  <c r="N63" i="1" a="1"/>
  <c r="N63" i="1" s="1"/>
  <c r="M63" i="1" s="1"/>
  <c r="N64" i="1" a="1"/>
  <c r="N64" i="1" s="1"/>
  <c r="M64" i="1" s="1"/>
  <c r="N65" i="1" a="1"/>
  <c r="N65" i="1" s="1"/>
  <c r="M65" i="1" s="1"/>
  <c r="N66" i="1" a="1"/>
  <c r="N66" i="1" s="1"/>
  <c r="M66" i="1" s="1"/>
  <c r="N67" i="1" a="1"/>
  <c r="N67" i="1" s="1"/>
  <c r="M67" i="1" s="1"/>
  <c r="N68" i="1" a="1"/>
  <c r="N68" i="1" s="1"/>
  <c r="M68" i="1" s="1"/>
  <c r="N69" i="1" a="1"/>
  <c r="N69" i="1" s="1"/>
  <c r="M69" i="1" s="1"/>
  <c r="N70" i="1" a="1"/>
  <c r="N70" i="1" s="1"/>
  <c r="M70" i="1" s="1"/>
  <c r="N71" i="1" a="1"/>
  <c r="N71" i="1" s="1"/>
  <c r="M71" i="1" s="1"/>
  <c r="N72" i="1" a="1"/>
  <c r="N72" i="1" s="1"/>
  <c r="M72" i="1" s="1"/>
  <c r="N73" i="1" a="1"/>
  <c r="N73" i="1" s="1"/>
  <c r="M73" i="1" s="1"/>
  <c r="N74" i="1" a="1"/>
  <c r="N74" i="1" s="1"/>
  <c r="M74" i="1" s="1"/>
  <c r="N75" i="1" a="1"/>
  <c r="N75" i="1" s="1"/>
  <c r="M75" i="1" s="1"/>
  <c r="N76" i="1" a="1"/>
  <c r="N76" i="1" s="1"/>
  <c r="M76" i="1" s="1"/>
  <c r="N77" i="1" a="1"/>
  <c r="N77" i="1" s="1"/>
  <c r="M77" i="1" s="1"/>
  <c r="N78" i="1" a="1"/>
  <c r="N78" i="1" s="1"/>
  <c r="M78" i="1" s="1"/>
  <c r="N79" i="1" a="1"/>
  <c r="N79" i="1" s="1"/>
  <c r="M79" i="1" s="1"/>
  <c r="N80" i="1" a="1"/>
  <c r="N80" i="1" s="1"/>
  <c r="M80" i="1" s="1"/>
  <c r="N81" i="1" a="1"/>
  <c r="N81" i="1" s="1"/>
  <c r="M81" i="1" s="1"/>
  <c r="N82" i="1" a="1"/>
  <c r="N82" i="1" s="1"/>
  <c r="M82" i="1" s="1"/>
  <c r="N83" i="1" a="1"/>
  <c r="N83" i="1" s="1"/>
  <c r="M83" i="1" s="1"/>
  <c r="N84" i="1" a="1"/>
  <c r="N84" i="1" s="1"/>
  <c r="M84" i="1" s="1"/>
  <c r="N85" i="1" a="1"/>
  <c r="N85" i="1" s="1"/>
  <c r="M85" i="1" s="1"/>
  <c r="N86" i="1" a="1"/>
  <c r="N86" i="1" s="1"/>
  <c r="M86" i="1" s="1"/>
  <c r="N87" i="1" a="1"/>
  <c r="N87" i="1" s="1"/>
  <c r="M87" i="1" s="1"/>
  <c r="N88" i="1" a="1"/>
  <c r="N88" i="1" s="1"/>
  <c r="M88" i="1" s="1"/>
  <c r="N89" i="1" a="1"/>
  <c r="N89" i="1" s="1"/>
  <c r="M89" i="1" s="1"/>
  <c r="N90" i="1" a="1"/>
  <c r="N90" i="1" s="1"/>
  <c r="M90" i="1" s="1"/>
  <c r="N91" i="1" a="1"/>
  <c r="N91" i="1" s="1"/>
  <c r="M91" i="1" s="1"/>
  <c r="N92" i="1" a="1"/>
  <c r="N92" i="1" s="1"/>
  <c r="M92" i="1" s="1"/>
  <c r="N93" i="1" a="1"/>
  <c r="N93" i="1" s="1"/>
  <c r="M93" i="1" s="1"/>
  <c r="N94" i="1" a="1"/>
  <c r="N94" i="1" s="1"/>
  <c r="M94" i="1" s="1"/>
  <c r="N95" i="1" a="1"/>
  <c r="N95" i="1" s="1"/>
  <c r="M95" i="1" s="1"/>
  <c r="N96" i="1" a="1"/>
  <c r="N96" i="1" s="1"/>
  <c r="M96" i="1" s="1"/>
  <c r="N97" i="1" a="1"/>
  <c r="N97" i="1" s="1"/>
  <c r="M97" i="1" s="1"/>
  <c r="N98" i="1" a="1"/>
  <c r="N98" i="1" s="1"/>
  <c r="M98" i="1" s="1"/>
  <c r="N99" i="1" a="1"/>
  <c r="N99" i="1" s="1"/>
  <c r="M99" i="1" s="1"/>
  <c r="N100" i="1" a="1"/>
  <c r="N100" i="1" s="1"/>
  <c r="M100" i="1" s="1"/>
  <c r="N101" i="1" a="1"/>
  <c r="N101" i="1" s="1"/>
  <c r="M101" i="1" s="1"/>
  <c r="N102" i="1" a="1"/>
  <c r="N102" i="1" s="1"/>
  <c r="M102" i="1" s="1"/>
  <c r="N103" i="1" a="1"/>
  <c r="N103" i="1" s="1"/>
  <c r="M103" i="1" s="1"/>
  <c r="N104" i="1" a="1"/>
  <c r="N104" i="1" s="1"/>
  <c r="M104" i="1" s="1"/>
  <c r="N105" i="1" a="1"/>
  <c r="N105" i="1" s="1"/>
  <c r="M105" i="1" s="1"/>
  <c r="N106" i="1" a="1"/>
  <c r="N106" i="1" s="1"/>
  <c r="M106" i="1" s="1"/>
  <c r="N107" i="1" a="1"/>
  <c r="N107" i="1" s="1"/>
  <c r="M107" i="1" s="1"/>
  <c r="N108" i="1" a="1"/>
  <c r="N108" i="1" s="1"/>
  <c r="M108" i="1" s="1"/>
  <c r="N109" i="1" a="1"/>
  <c r="N109" i="1" s="1"/>
  <c r="M109" i="1" s="1"/>
  <c r="N110" i="1" a="1"/>
  <c r="N110" i="1" s="1"/>
  <c r="M110" i="1" s="1"/>
  <c r="N111" i="1" a="1"/>
  <c r="N111" i="1" s="1"/>
  <c r="M111" i="1" s="1"/>
  <c r="N112" i="1" a="1"/>
  <c r="N112" i="1" s="1"/>
  <c r="M112" i="1" s="1"/>
  <c r="N113" i="1" a="1"/>
  <c r="N113" i="1" s="1"/>
  <c r="M113" i="1" s="1"/>
  <c r="N114" i="1" a="1"/>
  <c r="N114" i="1" s="1"/>
  <c r="M114" i="1" s="1"/>
  <c r="N115" i="1" a="1"/>
  <c r="N115" i="1" s="1"/>
  <c r="M115" i="1" s="1"/>
  <c r="N116" i="1" a="1"/>
  <c r="N116" i="1" s="1"/>
  <c r="M116" i="1" s="1"/>
  <c r="N117" i="1" a="1"/>
  <c r="N117" i="1" s="1"/>
  <c r="M117" i="1" s="1"/>
  <c r="N118" i="1" a="1"/>
  <c r="N118" i="1" s="1"/>
  <c r="M118" i="1" s="1"/>
  <c r="N119" i="1" a="1"/>
  <c r="N119" i="1" s="1"/>
  <c r="M119" i="1" s="1"/>
  <c r="N120" i="1" a="1"/>
  <c r="N120" i="1" s="1"/>
  <c r="M120" i="1" s="1"/>
  <c r="N121" i="1" a="1"/>
  <c r="N121" i="1" s="1"/>
  <c r="M121" i="1" s="1"/>
  <c r="N122" i="1" a="1"/>
  <c r="N122" i="1" s="1"/>
  <c r="M122" i="1" s="1"/>
  <c r="N123" i="1" a="1"/>
  <c r="N123" i="1" s="1"/>
  <c r="M123" i="1" s="1"/>
  <c r="N124" i="1" a="1"/>
  <c r="N124" i="1" s="1"/>
  <c r="M124" i="1" s="1"/>
  <c r="N125" i="1" a="1"/>
  <c r="N125" i="1" s="1"/>
  <c r="M125" i="1" s="1"/>
  <c r="N126" i="1" a="1"/>
  <c r="N126" i="1" s="1"/>
  <c r="M126" i="1" s="1"/>
  <c r="N127" i="1" a="1"/>
  <c r="N127" i="1" s="1"/>
  <c r="M127" i="1" s="1"/>
  <c r="N128" i="1" a="1"/>
  <c r="N128" i="1" s="1"/>
  <c r="M128" i="1" s="1"/>
  <c r="N129" i="1" a="1"/>
  <c r="N129" i="1" s="1"/>
  <c r="M129" i="1" s="1"/>
  <c r="N130" i="1" a="1"/>
  <c r="N130" i="1" s="1"/>
  <c r="M130" i="1" s="1"/>
  <c r="N131" i="1" a="1"/>
  <c r="N131" i="1" s="1"/>
  <c r="M131" i="1" s="1"/>
  <c r="N132" i="1" a="1"/>
  <c r="N132" i="1" s="1"/>
  <c r="M132" i="1" s="1"/>
  <c r="N133" i="1" a="1"/>
  <c r="N133" i="1" s="1"/>
  <c r="M133" i="1" s="1"/>
  <c r="N134" i="1" a="1"/>
  <c r="N134" i="1" s="1"/>
  <c r="M134" i="1" s="1"/>
  <c r="N135" i="1" a="1"/>
  <c r="N135" i="1" s="1"/>
  <c r="M135" i="1" s="1"/>
  <c r="N136" i="1" a="1"/>
  <c r="N136" i="1" s="1"/>
  <c r="M136" i="1" s="1"/>
  <c r="N137" i="1" a="1"/>
  <c r="N137" i="1" s="1"/>
  <c r="M137" i="1" s="1"/>
  <c r="N138" i="1" a="1"/>
  <c r="N138" i="1" s="1"/>
  <c r="M138" i="1" s="1"/>
  <c r="N139" i="1" a="1"/>
  <c r="N139" i="1" s="1"/>
  <c r="M139" i="1" s="1"/>
  <c r="N140" i="1" a="1"/>
  <c r="N140" i="1" s="1"/>
  <c r="M140" i="1" s="1"/>
  <c r="N141" i="1" a="1"/>
  <c r="N141" i="1" s="1"/>
  <c r="M141" i="1" s="1"/>
  <c r="N142" i="1" a="1"/>
  <c r="N142" i="1" s="1"/>
  <c r="M142" i="1" s="1"/>
  <c r="N143" i="1" a="1"/>
  <c r="N143" i="1" s="1"/>
  <c r="M143" i="1" s="1"/>
  <c r="N144" i="1" a="1"/>
  <c r="N144" i="1" s="1"/>
  <c r="M144" i="1" s="1"/>
  <c r="N145" i="1" a="1"/>
  <c r="N145" i="1" s="1"/>
  <c r="M145" i="1" s="1"/>
  <c r="N146" i="1" a="1"/>
  <c r="N146" i="1" s="1"/>
  <c r="M146" i="1" s="1"/>
  <c r="N147" i="1" a="1"/>
  <c r="N147" i="1" s="1"/>
  <c r="M147" i="1" s="1"/>
  <c r="N148" i="1" a="1"/>
  <c r="N148" i="1" s="1"/>
  <c r="M148" i="1" s="1"/>
  <c r="N149" i="1" a="1"/>
  <c r="N149" i="1" s="1"/>
  <c r="M149" i="1" s="1"/>
  <c r="N150" i="1" a="1"/>
  <c r="N150" i="1" s="1"/>
  <c r="M150" i="1" s="1"/>
  <c r="N151" i="1" a="1"/>
  <c r="N151" i="1" s="1"/>
  <c r="M151" i="1" s="1"/>
  <c r="N152" i="1" a="1"/>
  <c r="N152" i="1" s="1"/>
  <c r="M152" i="1" s="1"/>
  <c r="N153" i="1" a="1"/>
  <c r="N153" i="1" s="1"/>
  <c r="M153" i="1" s="1"/>
  <c r="N154" i="1" a="1"/>
  <c r="N154" i="1" s="1"/>
  <c r="M154" i="1" s="1"/>
  <c r="N155" i="1" a="1"/>
  <c r="N155" i="1" s="1"/>
  <c r="M155" i="1" s="1"/>
  <c r="N156" i="1" a="1"/>
  <c r="N156" i="1" s="1"/>
  <c r="M156" i="1" s="1"/>
  <c r="N157" i="1" a="1"/>
  <c r="N157" i="1" s="1"/>
  <c r="M157" i="1" s="1"/>
  <c r="N158" i="1" a="1"/>
  <c r="N158" i="1" s="1"/>
  <c r="M158" i="1" s="1"/>
  <c r="N159" i="1" a="1"/>
  <c r="N159" i="1" s="1"/>
  <c r="M159" i="1" s="1"/>
  <c r="N160" i="1" a="1"/>
  <c r="N160" i="1" s="1"/>
  <c r="M160" i="1" s="1"/>
  <c r="N161" i="1" a="1"/>
  <c r="N161" i="1" s="1"/>
  <c r="M161" i="1" s="1"/>
  <c r="N162" i="1" a="1"/>
  <c r="N162" i="1" s="1"/>
  <c r="M162" i="1" s="1"/>
  <c r="N163" i="1" a="1"/>
  <c r="N163" i="1" s="1"/>
  <c r="M163" i="1" s="1"/>
  <c r="N164" i="1" a="1"/>
  <c r="N164" i="1" s="1"/>
  <c r="M164" i="1" s="1"/>
  <c r="N165" i="1" a="1"/>
  <c r="N165" i="1" s="1"/>
  <c r="M165" i="1" s="1"/>
  <c r="N166" i="1" a="1"/>
  <c r="N166" i="1" s="1"/>
  <c r="M166" i="1" s="1"/>
  <c r="N167" i="1" a="1"/>
  <c r="N167" i="1" s="1"/>
  <c r="M167" i="1" s="1"/>
  <c r="N168" i="1" a="1"/>
  <c r="N168" i="1" s="1"/>
  <c r="M168" i="1" s="1"/>
  <c r="N169" i="1" a="1"/>
  <c r="N169" i="1" s="1"/>
  <c r="M169" i="1" s="1"/>
  <c r="N170" i="1" a="1"/>
  <c r="N170" i="1" s="1"/>
  <c r="M170" i="1" s="1"/>
  <c r="N171" i="1" a="1"/>
  <c r="N171" i="1" s="1"/>
  <c r="M171" i="1" s="1"/>
  <c r="N172" i="1" a="1"/>
  <c r="N172" i="1" s="1"/>
  <c r="M172" i="1" s="1"/>
  <c r="N173" i="1" a="1"/>
  <c r="N173" i="1" s="1"/>
  <c r="M173" i="1" s="1"/>
  <c r="N174" i="1" a="1"/>
  <c r="N174" i="1" s="1"/>
  <c r="M174" i="1" s="1"/>
  <c r="N175" i="1" a="1"/>
  <c r="N175" i="1" s="1"/>
  <c r="M175" i="1" s="1"/>
  <c r="N176" i="1" a="1"/>
  <c r="N176" i="1" s="1"/>
  <c r="M176" i="1" s="1"/>
  <c r="N177" i="1" a="1"/>
  <c r="N177" i="1" s="1"/>
  <c r="M177" i="1" s="1"/>
  <c r="N178" i="1" a="1"/>
  <c r="N178" i="1" s="1"/>
  <c r="M178" i="1" s="1"/>
  <c r="N179" i="1" a="1"/>
  <c r="N179" i="1" s="1"/>
  <c r="M179" i="1" s="1"/>
  <c r="N180" i="1" a="1"/>
  <c r="N180" i="1" s="1"/>
  <c r="M180" i="1" s="1"/>
  <c r="N181" i="1" a="1"/>
  <c r="N181" i="1" s="1"/>
  <c r="M181" i="1" s="1"/>
  <c r="N182" i="1" a="1"/>
  <c r="N182" i="1" s="1"/>
  <c r="M182" i="1" s="1"/>
  <c r="N183" i="1" a="1"/>
  <c r="N183" i="1" s="1"/>
  <c r="M183" i="1" s="1"/>
  <c r="N184" i="1" a="1"/>
  <c r="N184" i="1" s="1"/>
  <c r="M184" i="1" s="1"/>
  <c r="N185" i="1" a="1"/>
  <c r="N185" i="1" s="1"/>
  <c r="M185" i="1" s="1"/>
  <c r="N186" i="1" a="1"/>
  <c r="N186" i="1" s="1"/>
  <c r="M186" i="1" s="1"/>
  <c r="N187" i="1" a="1"/>
  <c r="N187" i="1" s="1"/>
  <c r="M187" i="1" s="1"/>
  <c r="N188" i="1" a="1"/>
  <c r="N188" i="1" s="1"/>
  <c r="M188" i="1" s="1"/>
  <c r="N189" i="1" a="1"/>
  <c r="N189" i="1" s="1"/>
  <c r="M189" i="1" s="1"/>
  <c r="N190" i="1" a="1"/>
  <c r="N190" i="1" s="1"/>
  <c r="M190" i="1" s="1"/>
  <c r="N191" i="1" a="1"/>
  <c r="N191" i="1" s="1"/>
  <c r="M191" i="1" s="1"/>
  <c r="N192" i="1" a="1"/>
  <c r="N192" i="1" s="1"/>
  <c r="M192" i="1" s="1"/>
  <c r="N193" i="1" a="1"/>
  <c r="N193" i="1" s="1"/>
  <c r="M193" i="1" s="1"/>
  <c r="N194" i="1" a="1"/>
  <c r="N194" i="1" s="1"/>
  <c r="M194" i="1" s="1"/>
  <c r="N195" i="1" a="1"/>
  <c r="N195" i="1" s="1"/>
  <c r="M195" i="1" s="1"/>
  <c r="N196" i="1" a="1"/>
  <c r="N196" i="1" s="1"/>
  <c r="M196" i="1" s="1"/>
  <c r="N197" i="1" a="1"/>
  <c r="N197" i="1" s="1"/>
  <c r="M197" i="1" s="1"/>
  <c r="N198" i="1" a="1"/>
  <c r="N198" i="1" s="1"/>
  <c r="M198" i="1" s="1"/>
  <c r="N199" i="1" a="1"/>
  <c r="N199" i="1" s="1"/>
  <c r="M199" i="1" s="1"/>
  <c r="N200" i="1" a="1"/>
  <c r="N200" i="1" s="1"/>
  <c r="M200" i="1" s="1"/>
  <c r="N201" i="1" a="1"/>
  <c r="N201" i="1" s="1"/>
  <c r="M201" i="1" s="1"/>
  <c r="N202" i="1" a="1"/>
  <c r="N202" i="1" s="1"/>
  <c r="M202" i="1" s="1"/>
  <c r="N203" i="1" a="1"/>
  <c r="N203" i="1" s="1"/>
  <c r="M203" i="1" s="1"/>
  <c r="N204" i="1" a="1"/>
  <c r="N204" i="1" s="1"/>
  <c r="M204" i="1" s="1"/>
  <c r="N205" i="1" a="1"/>
  <c r="N205" i="1" s="1"/>
  <c r="M205" i="1" s="1"/>
  <c r="N206" i="1" a="1"/>
  <c r="N206" i="1" s="1"/>
  <c r="M206" i="1" s="1"/>
  <c r="N207" i="1" a="1"/>
  <c r="N207" i="1" s="1"/>
  <c r="M207" i="1" s="1"/>
  <c r="N208" i="1" a="1"/>
  <c r="N208" i="1" s="1"/>
  <c r="M208" i="1" s="1"/>
  <c r="N209" i="1" a="1"/>
  <c r="N209" i="1" s="1"/>
  <c r="M209" i="1" s="1"/>
  <c r="N210" i="1" a="1"/>
  <c r="N210" i="1" s="1"/>
  <c r="M210" i="1" s="1"/>
  <c r="N211" i="1" a="1"/>
  <c r="N211" i="1" s="1"/>
  <c r="M211" i="1" s="1"/>
  <c r="N212" i="1" a="1"/>
  <c r="N212" i="1" s="1"/>
  <c r="M212" i="1" s="1"/>
  <c r="N213" i="1" a="1"/>
  <c r="N213" i="1" s="1"/>
  <c r="M213" i="1" s="1"/>
  <c r="N214" i="1" a="1"/>
  <c r="N214" i="1" s="1"/>
  <c r="M214" i="1" s="1"/>
  <c r="N215" i="1" a="1"/>
  <c r="N215" i="1" s="1"/>
  <c r="M215" i="1" s="1"/>
  <c r="N216" i="1" a="1"/>
  <c r="N216" i="1" s="1"/>
  <c r="M216" i="1" s="1"/>
  <c r="N217" i="1" a="1"/>
  <c r="N217" i="1" s="1"/>
  <c r="M217" i="1" s="1"/>
  <c r="N218" i="1" a="1"/>
  <c r="N218" i="1" s="1"/>
  <c r="M218" i="1" s="1"/>
  <c r="N219" i="1" a="1"/>
  <c r="N219" i="1" s="1"/>
  <c r="M219" i="1" s="1"/>
  <c r="N220" i="1" a="1"/>
  <c r="N220" i="1" s="1"/>
  <c r="M220" i="1" s="1"/>
  <c r="N221" i="1" a="1"/>
  <c r="N221" i="1" s="1"/>
  <c r="M221" i="1" s="1"/>
  <c r="N222" i="1" a="1"/>
  <c r="N222" i="1" s="1"/>
  <c r="M222" i="1" s="1"/>
  <c r="N223" i="1" a="1"/>
  <c r="N223" i="1" s="1"/>
  <c r="M223" i="1" s="1"/>
  <c r="N224" i="1" a="1"/>
  <c r="N224" i="1" s="1"/>
  <c r="M224" i="1" s="1"/>
  <c r="N225" i="1" a="1"/>
  <c r="N225" i="1" s="1"/>
  <c r="M225" i="1" s="1"/>
  <c r="N226" i="1" a="1"/>
  <c r="N226" i="1" s="1"/>
  <c r="M226" i="1" s="1"/>
  <c r="N227" i="1" a="1"/>
  <c r="N227" i="1" s="1"/>
  <c r="M227" i="1" s="1"/>
  <c r="N228" i="1" a="1"/>
  <c r="N228" i="1" s="1"/>
  <c r="M228" i="1" s="1"/>
  <c r="N229" i="1" a="1"/>
  <c r="N229" i="1" s="1"/>
  <c r="M229" i="1" s="1"/>
  <c r="N230" i="1" a="1"/>
  <c r="N230" i="1" s="1"/>
  <c r="M230" i="1" s="1"/>
  <c r="N231" i="1" a="1"/>
  <c r="N231" i="1" s="1"/>
  <c r="M231" i="1" s="1"/>
  <c r="N232" i="1" a="1"/>
  <c r="N232" i="1" s="1"/>
  <c r="M232" i="1" s="1"/>
  <c r="N233" i="1" a="1"/>
  <c r="N233" i="1" s="1"/>
  <c r="M233" i="1" s="1"/>
  <c r="N234" i="1" a="1"/>
  <c r="N234" i="1" s="1"/>
  <c r="M234" i="1" s="1"/>
  <c r="N235" i="1" a="1"/>
  <c r="N235" i="1" s="1"/>
  <c r="M235" i="1" s="1"/>
  <c r="N236" i="1" a="1"/>
  <c r="N236" i="1" s="1"/>
  <c r="M236" i="1" s="1"/>
  <c r="N237" i="1" a="1"/>
  <c r="N237" i="1" s="1"/>
  <c r="M237" i="1" s="1"/>
  <c r="N238" i="1" a="1"/>
  <c r="N238" i="1" s="1"/>
  <c r="M238" i="1" s="1"/>
  <c r="N239" i="1" a="1"/>
  <c r="N239" i="1" s="1"/>
  <c r="M239" i="1" s="1"/>
  <c r="N240" i="1" a="1"/>
  <c r="N240" i="1" s="1"/>
  <c r="M240" i="1" s="1"/>
  <c r="N241" i="1" a="1"/>
  <c r="N241" i="1" s="1"/>
  <c r="M241" i="1" s="1"/>
  <c r="N242" i="1" a="1"/>
  <c r="N242" i="1" s="1"/>
  <c r="M242" i="1" s="1"/>
  <c r="N243" i="1" a="1"/>
  <c r="N243" i="1" s="1"/>
  <c r="M243" i="1" s="1"/>
  <c r="N244" i="1" a="1"/>
  <c r="N244" i="1" s="1"/>
  <c r="M244" i="1" s="1"/>
  <c r="N245" i="1" a="1"/>
  <c r="N245" i="1" s="1"/>
  <c r="M245" i="1" s="1"/>
  <c r="N246" i="1" a="1"/>
  <c r="N246" i="1" s="1"/>
  <c r="M246" i="1" s="1"/>
  <c r="N247" i="1" a="1"/>
  <c r="N247" i="1" s="1"/>
  <c r="M247" i="1" s="1"/>
  <c r="N248" i="1" a="1"/>
  <c r="N248" i="1" s="1"/>
  <c r="M248" i="1" s="1"/>
  <c r="N249" i="1" a="1"/>
  <c r="N249" i="1" s="1"/>
  <c r="M249" i="1" s="1"/>
  <c r="N250" i="1" a="1"/>
  <c r="N250" i="1" s="1"/>
  <c r="M250" i="1" s="1"/>
  <c r="N251" i="1" a="1"/>
  <c r="N251" i="1" s="1"/>
  <c r="M251" i="1" s="1"/>
  <c r="N252" i="1" a="1"/>
  <c r="N252" i="1" s="1"/>
  <c r="M252" i="1" s="1"/>
  <c r="N253" i="1" a="1"/>
  <c r="N253" i="1" s="1"/>
  <c r="M253" i="1" s="1"/>
  <c r="N254" i="1" a="1"/>
  <c r="N254" i="1" s="1"/>
  <c r="M254" i="1" s="1"/>
  <c r="N255" i="1" a="1"/>
  <c r="N255" i="1" s="1"/>
  <c r="M255" i="1" s="1"/>
  <c r="N256" i="1" a="1"/>
  <c r="N256" i="1" s="1"/>
  <c r="M256" i="1" s="1"/>
  <c r="N257" i="1" a="1"/>
  <c r="N257" i="1" s="1"/>
  <c r="M257" i="1" s="1"/>
  <c r="N258" i="1" a="1"/>
  <c r="N258" i="1" s="1"/>
  <c r="M258" i="1" s="1"/>
  <c r="N259" i="1" a="1"/>
  <c r="N259" i="1" s="1"/>
  <c r="M259" i="1" s="1"/>
  <c r="N260" i="1" a="1"/>
  <c r="N260" i="1" s="1"/>
  <c r="M260" i="1" s="1"/>
  <c r="N261" i="1" a="1"/>
  <c r="N261" i="1" s="1"/>
  <c r="M261" i="1" s="1"/>
  <c r="N262" i="1" a="1"/>
  <c r="N262" i="1" s="1"/>
  <c r="M262" i="1" s="1"/>
  <c r="N263" i="1" a="1"/>
  <c r="N263" i="1" s="1"/>
  <c r="M263" i="1" s="1"/>
  <c r="N264" i="1" a="1"/>
  <c r="N264" i="1" s="1"/>
  <c r="M264" i="1" s="1"/>
  <c r="N265" i="1" a="1"/>
  <c r="N265" i="1" s="1"/>
  <c r="M265" i="1" s="1"/>
  <c r="N266" i="1" a="1"/>
  <c r="N266" i="1" s="1"/>
  <c r="M266" i="1" s="1"/>
  <c r="N267" i="1" a="1"/>
  <c r="N267" i="1" s="1"/>
  <c r="M267" i="1" s="1"/>
  <c r="N268" i="1" a="1"/>
  <c r="N268" i="1" s="1"/>
  <c r="M268" i="1" s="1"/>
  <c r="N269" i="1" a="1"/>
  <c r="N269" i="1" s="1"/>
  <c r="M269" i="1" s="1"/>
  <c r="N270" i="1" a="1"/>
  <c r="N270" i="1" s="1"/>
  <c r="M270" i="1" s="1"/>
  <c r="N271" i="1" a="1"/>
  <c r="N271" i="1" s="1"/>
  <c r="M271" i="1" s="1"/>
  <c r="N272" i="1" a="1"/>
  <c r="N272" i="1" s="1"/>
  <c r="M272" i="1" s="1"/>
  <c r="N273" i="1" a="1"/>
  <c r="N273" i="1" s="1"/>
  <c r="M273" i="1" s="1"/>
  <c r="N274" i="1" a="1"/>
  <c r="N274" i="1" s="1"/>
  <c r="M274" i="1" s="1"/>
  <c r="N275" i="1" a="1"/>
  <c r="N275" i="1" s="1"/>
  <c r="M275" i="1" s="1"/>
  <c r="N276" i="1" a="1"/>
  <c r="N276" i="1" s="1"/>
  <c r="M276" i="1" s="1"/>
  <c r="N277" i="1" a="1"/>
  <c r="N277" i="1" s="1"/>
  <c r="M277" i="1" s="1"/>
  <c r="N278" i="1" a="1"/>
  <c r="N278" i="1" s="1"/>
  <c r="M278" i="1" s="1"/>
  <c r="N279" i="1" a="1"/>
  <c r="N279" i="1" s="1"/>
  <c r="M279" i="1" s="1"/>
  <c r="N280" i="1" a="1"/>
  <c r="N280" i="1" s="1"/>
  <c r="M280" i="1" s="1"/>
  <c r="N281" i="1" a="1"/>
  <c r="N281" i="1" s="1"/>
  <c r="M281" i="1" s="1"/>
  <c r="N282" i="1" a="1"/>
  <c r="N282" i="1" s="1"/>
  <c r="M282" i="1" s="1"/>
  <c r="N283" i="1" a="1"/>
  <c r="N283" i="1" s="1"/>
  <c r="M283" i="1" s="1"/>
  <c r="N284" i="1" a="1"/>
  <c r="N284" i="1" s="1"/>
  <c r="M284" i="1" s="1"/>
  <c r="N285" i="1" a="1"/>
  <c r="N285" i="1" s="1"/>
  <c r="M285" i="1" s="1"/>
  <c r="N286" i="1" a="1"/>
  <c r="N286" i="1" s="1"/>
  <c r="M286" i="1" s="1"/>
  <c r="N287" i="1" a="1"/>
  <c r="N287" i="1" s="1"/>
  <c r="M287" i="1" s="1"/>
  <c r="N288" i="1" a="1"/>
  <c r="N288" i="1" s="1"/>
  <c r="M288" i="1" s="1"/>
  <c r="N289" i="1" a="1"/>
  <c r="N289" i="1" s="1"/>
  <c r="M289" i="1" s="1"/>
  <c r="N290" i="1" a="1"/>
  <c r="N290" i="1" s="1"/>
  <c r="M290" i="1" s="1"/>
  <c r="N291" i="1" a="1"/>
  <c r="N291" i="1" s="1"/>
  <c r="M291" i="1" s="1"/>
  <c r="N292" i="1" a="1"/>
  <c r="N292" i="1" s="1"/>
  <c r="M292" i="1" s="1"/>
  <c r="N293" i="1" a="1"/>
  <c r="N293" i="1" s="1"/>
  <c r="M293" i="1" s="1"/>
  <c r="N294" i="1" a="1"/>
  <c r="N294" i="1" s="1"/>
  <c r="M294" i="1" s="1"/>
  <c r="N295" i="1" a="1"/>
  <c r="N295" i="1" s="1"/>
  <c r="M295" i="1" s="1"/>
  <c r="N296" i="1" a="1"/>
  <c r="N296" i="1" s="1"/>
  <c r="M296" i="1" s="1"/>
  <c r="N297" i="1" a="1"/>
  <c r="N297" i="1" s="1"/>
  <c r="M297" i="1" s="1"/>
  <c r="N298" i="1" a="1"/>
  <c r="N298" i="1" s="1"/>
  <c r="M298" i="1" s="1"/>
  <c r="N299" i="1" a="1"/>
  <c r="N299" i="1" s="1"/>
  <c r="M299" i="1" s="1"/>
  <c r="N300" i="1" a="1"/>
  <c r="N300" i="1" s="1"/>
  <c r="M300" i="1" s="1"/>
  <c r="N301" i="1" a="1"/>
  <c r="N301" i="1" s="1"/>
  <c r="M301" i="1" s="1"/>
  <c r="N302" i="1" a="1"/>
  <c r="N302" i="1" s="1"/>
  <c r="M302" i="1" s="1"/>
  <c r="N303" i="1" a="1"/>
  <c r="N303" i="1" s="1"/>
  <c r="M303" i="1" s="1"/>
  <c r="N304" i="1" a="1"/>
  <c r="N304" i="1" s="1"/>
  <c r="M304" i="1" s="1"/>
  <c r="N305" i="1" a="1"/>
  <c r="N305" i="1" s="1"/>
  <c r="M305" i="1" s="1"/>
  <c r="N306" i="1" a="1"/>
  <c r="N306" i="1" s="1"/>
  <c r="M306" i="1" s="1"/>
  <c r="N307" i="1" a="1"/>
  <c r="N307" i="1" s="1"/>
  <c r="M307" i="1" s="1"/>
  <c r="N308" i="1" a="1"/>
  <c r="N308" i="1" s="1"/>
  <c r="M308" i="1" s="1"/>
  <c r="N309" i="1" a="1"/>
  <c r="N309" i="1" s="1"/>
  <c r="M309" i="1" s="1"/>
  <c r="N310" i="1" a="1"/>
  <c r="N310" i="1" s="1"/>
  <c r="M310" i="1" s="1"/>
  <c r="N311" i="1" a="1"/>
  <c r="N311" i="1" s="1"/>
  <c r="M311" i="1" s="1"/>
  <c r="N312" i="1" a="1"/>
  <c r="N312" i="1" s="1"/>
  <c r="M312" i="1" s="1"/>
  <c r="N313" i="1" a="1"/>
  <c r="N313" i="1" s="1"/>
  <c r="M313" i="1" s="1"/>
  <c r="N314" i="1" a="1"/>
  <c r="N314" i="1" s="1"/>
  <c r="M314" i="1" s="1"/>
  <c r="N315" i="1" a="1"/>
  <c r="N315" i="1" s="1"/>
  <c r="M315" i="1" s="1"/>
  <c r="N316" i="1" a="1"/>
  <c r="N316" i="1" s="1"/>
  <c r="M316" i="1" s="1"/>
  <c r="N317" i="1" a="1"/>
  <c r="N317" i="1" s="1"/>
  <c r="M317" i="1" s="1"/>
  <c r="N318" i="1" a="1"/>
  <c r="N318" i="1" s="1"/>
  <c r="M318" i="1" s="1"/>
  <c r="N319" i="1" a="1"/>
  <c r="N319" i="1" s="1"/>
  <c r="M319" i="1" s="1"/>
  <c r="N320" i="1" a="1"/>
  <c r="N320" i="1" s="1"/>
  <c r="M320" i="1" s="1"/>
  <c r="N321" i="1" a="1"/>
  <c r="N321" i="1" s="1"/>
  <c r="M321" i="1" s="1"/>
  <c r="N322" i="1" a="1"/>
  <c r="N322" i="1" s="1"/>
  <c r="M322" i="1" s="1"/>
  <c r="N323" i="1" a="1"/>
  <c r="N323" i="1" s="1"/>
  <c r="M323" i="1" s="1"/>
  <c r="N324" i="1" a="1"/>
  <c r="N324" i="1" s="1"/>
  <c r="M324" i="1" s="1"/>
  <c r="N325" i="1" a="1"/>
  <c r="N325" i="1" s="1"/>
  <c r="M325" i="1" s="1"/>
  <c r="N326" i="1" a="1"/>
  <c r="N326" i="1" s="1"/>
  <c r="M326" i="1" s="1"/>
  <c r="N327" i="1" a="1"/>
  <c r="N327" i="1" s="1"/>
  <c r="M327" i="1" s="1"/>
  <c r="N328" i="1" a="1"/>
  <c r="N328" i="1" s="1"/>
  <c r="M328" i="1" s="1"/>
  <c r="N329" i="1" a="1"/>
  <c r="N329" i="1" s="1"/>
  <c r="M329" i="1" s="1"/>
  <c r="N330" i="1" a="1"/>
  <c r="N330" i="1" s="1"/>
  <c r="M330" i="1" s="1"/>
  <c r="N331" i="1" a="1"/>
  <c r="N331" i="1" s="1"/>
  <c r="M331" i="1" s="1"/>
  <c r="N332" i="1" a="1"/>
  <c r="N332" i="1" s="1"/>
  <c r="M332" i="1" s="1"/>
  <c r="N333" i="1" a="1"/>
  <c r="N333" i="1" s="1"/>
  <c r="M333" i="1" s="1"/>
  <c r="N334" i="1" a="1"/>
  <c r="N334" i="1" s="1"/>
  <c r="M334" i="1" s="1"/>
  <c r="N335" i="1" a="1"/>
  <c r="N335" i="1" s="1"/>
  <c r="M335" i="1" s="1"/>
  <c r="N336" i="1" a="1"/>
  <c r="N336" i="1" s="1"/>
  <c r="M336" i="1" s="1"/>
  <c r="N337" i="1" a="1"/>
  <c r="N337" i="1" s="1"/>
  <c r="M337" i="1" s="1"/>
  <c r="N338" i="1" a="1"/>
  <c r="N338" i="1" s="1"/>
  <c r="M338" i="1" s="1"/>
  <c r="N339" i="1" a="1"/>
  <c r="N339" i="1" s="1"/>
  <c r="M339" i="1" s="1"/>
  <c r="N340" i="1" a="1"/>
  <c r="N340" i="1" s="1"/>
  <c r="M340" i="1" s="1"/>
  <c r="N341" i="1" a="1"/>
  <c r="N341" i="1" s="1"/>
  <c r="M341" i="1" s="1"/>
  <c r="N342" i="1" a="1"/>
  <c r="N342" i="1" s="1"/>
  <c r="M342" i="1" s="1"/>
  <c r="N343" i="1" a="1"/>
  <c r="N343" i="1" s="1"/>
  <c r="M343" i="1" s="1"/>
  <c r="N344" i="1" a="1"/>
  <c r="N344" i="1" s="1"/>
  <c r="M344" i="1" s="1"/>
  <c r="N345" i="1" a="1"/>
  <c r="N345" i="1" s="1"/>
  <c r="M345" i="1" s="1"/>
  <c r="N346" i="1" a="1"/>
  <c r="N346" i="1" s="1"/>
  <c r="M346" i="1" s="1"/>
  <c r="N347" i="1" a="1"/>
  <c r="N347" i="1" s="1"/>
  <c r="M347" i="1" s="1"/>
  <c r="N348" i="1" a="1"/>
  <c r="N348" i="1" s="1"/>
  <c r="M348" i="1" s="1"/>
  <c r="N349" i="1" a="1"/>
  <c r="N349" i="1" s="1"/>
  <c r="M349" i="1" s="1"/>
  <c r="N350" i="1" a="1"/>
  <c r="N350" i="1" s="1"/>
  <c r="M350" i="1" s="1"/>
  <c r="N351" i="1" a="1"/>
  <c r="N351" i="1" s="1"/>
  <c r="M351" i="1" s="1"/>
  <c r="N352" i="1" a="1"/>
  <c r="N352" i="1" s="1"/>
  <c r="M352" i="1" s="1"/>
  <c r="N353" i="1" a="1"/>
  <c r="N353" i="1" s="1"/>
  <c r="M353" i="1" s="1"/>
  <c r="N354" i="1" a="1"/>
  <c r="N354" i="1" s="1"/>
  <c r="M354" i="1" s="1"/>
  <c r="N355" i="1" a="1"/>
  <c r="N355" i="1" s="1"/>
  <c r="M355" i="1" s="1"/>
  <c r="N356" i="1" a="1"/>
  <c r="N356" i="1" s="1"/>
  <c r="M356" i="1" s="1"/>
  <c r="N357" i="1" a="1"/>
  <c r="N357" i="1" s="1"/>
  <c r="M357" i="1" s="1"/>
  <c r="N358" i="1" a="1"/>
  <c r="N358" i="1" s="1"/>
  <c r="M358" i="1" s="1"/>
  <c r="N359" i="1" a="1"/>
  <c r="N359" i="1" s="1"/>
  <c r="M359" i="1" s="1"/>
  <c r="N360" i="1" a="1"/>
  <c r="N360" i="1" s="1"/>
  <c r="M360" i="1" s="1"/>
  <c r="N361" i="1" a="1"/>
  <c r="N361" i="1" s="1"/>
  <c r="M361" i="1" s="1"/>
  <c r="N362" i="1" a="1"/>
  <c r="N362" i="1" s="1"/>
  <c r="M362" i="1" s="1"/>
  <c r="N363" i="1" a="1"/>
  <c r="N363" i="1" s="1"/>
  <c r="M363" i="1" s="1"/>
  <c r="N364" i="1" a="1"/>
  <c r="N364" i="1" s="1"/>
  <c r="M364" i="1" s="1"/>
  <c r="N365" i="1" a="1"/>
  <c r="N365" i="1" s="1"/>
  <c r="M365" i="1" s="1"/>
  <c r="N366" i="1" a="1"/>
  <c r="N366" i="1" s="1"/>
  <c r="M366" i="1" s="1"/>
  <c r="N367" i="1" a="1"/>
  <c r="N367" i="1" s="1"/>
  <c r="M367" i="1" s="1"/>
  <c r="N368" i="1" a="1"/>
  <c r="N368" i="1" s="1"/>
  <c r="M368" i="1" s="1"/>
  <c r="N369" i="1" a="1"/>
  <c r="N369" i="1" s="1"/>
  <c r="M369" i="1" s="1"/>
  <c r="N370" i="1" a="1"/>
  <c r="N370" i="1" s="1"/>
  <c r="M370" i="1" s="1"/>
  <c r="N371" i="1" a="1"/>
  <c r="N371" i="1" s="1"/>
  <c r="M371" i="1" s="1"/>
  <c r="N372" i="1" a="1"/>
  <c r="N372" i="1" s="1"/>
  <c r="M372" i="1" s="1"/>
  <c r="N373" i="1" a="1"/>
  <c r="N373" i="1" s="1"/>
  <c r="M373" i="1" s="1"/>
  <c r="N374" i="1" a="1"/>
  <c r="N374" i="1" s="1"/>
  <c r="M374" i="1" s="1"/>
  <c r="N375" i="1" a="1"/>
  <c r="N375" i="1" s="1"/>
  <c r="M375" i="1" s="1"/>
  <c r="N376" i="1" a="1"/>
  <c r="N376" i="1" s="1"/>
  <c r="M376" i="1" s="1"/>
  <c r="N377" i="1" a="1"/>
  <c r="N377" i="1" s="1"/>
  <c r="M377" i="1" s="1"/>
  <c r="N378" i="1" a="1"/>
  <c r="N378" i="1" s="1"/>
  <c r="M378" i="1" s="1"/>
  <c r="N379" i="1" a="1"/>
  <c r="N379" i="1" s="1"/>
  <c r="M379" i="1" s="1"/>
  <c r="N380" i="1" a="1"/>
  <c r="N380" i="1" s="1"/>
  <c r="M380" i="1" s="1"/>
  <c r="N381" i="1" a="1"/>
  <c r="N381" i="1" s="1"/>
  <c r="M381" i="1" s="1"/>
  <c r="N382" i="1" a="1"/>
  <c r="N382" i="1" s="1"/>
  <c r="M382" i="1" s="1"/>
  <c r="N383" i="1" a="1"/>
  <c r="N383" i="1" s="1"/>
  <c r="M383" i="1" s="1"/>
  <c r="N384" i="1" a="1"/>
  <c r="N384" i="1" s="1"/>
  <c r="M384" i="1" s="1"/>
  <c r="N385" i="1" a="1"/>
  <c r="N385" i="1" s="1"/>
  <c r="M385" i="1" s="1"/>
  <c r="N386" i="1" a="1"/>
  <c r="N386" i="1" s="1"/>
  <c r="M386" i="1" s="1"/>
  <c r="N387" i="1" a="1"/>
  <c r="N387" i="1" s="1"/>
  <c r="M387" i="1" s="1"/>
  <c r="N388" i="1" a="1"/>
  <c r="N388" i="1" s="1"/>
  <c r="M388" i="1" s="1"/>
  <c r="N389" i="1" a="1"/>
  <c r="N389" i="1" s="1"/>
  <c r="M389" i="1" s="1"/>
  <c r="N390" i="1" a="1"/>
  <c r="N390" i="1" s="1"/>
  <c r="M390" i="1" s="1"/>
  <c r="N391" i="1" a="1"/>
  <c r="N391" i="1" s="1"/>
  <c r="M391" i="1" s="1"/>
  <c r="N392" i="1" a="1"/>
  <c r="N392" i="1" s="1"/>
  <c r="M392" i="1" s="1"/>
  <c r="N393" i="1" a="1"/>
  <c r="N393" i="1" s="1"/>
  <c r="M393" i="1" s="1"/>
  <c r="N394" i="1" a="1"/>
  <c r="N394" i="1" s="1"/>
  <c r="M394" i="1" s="1"/>
  <c r="N395" i="1" a="1"/>
  <c r="N395" i="1" s="1"/>
  <c r="M395" i="1" s="1"/>
  <c r="N396" i="1" a="1"/>
  <c r="N396" i="1" s="1"/>
  <c r="M396" i="1" s="1"/>
  <c r="N397" i="1" a="1"/>
  <c r="N397" i="1" s="1"/>
  <c r="M397" i="1" s="1"/>
  <c r="N398" i="1" a="1"/>
  <c r="N398" i="1" s="1"/>
  <c r="M398" i="1" s="1"/>
  <c r="N399" i="1" a="1"/>
  <c r="N399" i="1" s="1"/>
  <c r="M399" i="1" s="1"/>
  <c r="N400" i="1" a="1"/>
  <c r="N400" i="1" s="1"/>
  <c r="M400" i="1" s="1"/>
  <c r="N401" i="1" a="1"/>
  <c r="N401" i="1" s="1"/>
  <c r="M401" i="1" s="1"/>
  <c r="N402" i="1" a="1"/>
  <c r="N402" i="1" s="1"/>
  <c r="M402" i="1" s="1"/>
  <c r="N403" i="1" a="1"/>
  <c r="N403" i="1" s="1"/>
  <c r="M403" i="1" s="1"/>
  <c r="N404" i="1" a="1"/>
  <c r="N404" i="1" s="1"/>
  <c r="M404" i="1" s="1"/>
  <c r="N405" i="1" a="1"/>
  <c r="N405" i="1" s="1"/>
  <c r="M405" i="1" s="1"/>
  <c r="N406" i="1" a="1"/>
  <c r="N406" i="1" s="1"/>
  <c r="M406" i="1" s="1"/>
  <c r="N407" i="1" a="1"/>
  <c r="N407" i="1" s="1"/>
  <c r="M407" i="1" s="1"/>
  <c r="N408" i="1" a="1"/>
  <c r="N408" i="1" s="1"/>
  <c r="M408" i="1" s="1"/>
  <c r="N409" i="1" a="1"/>
  <c r="N409" i="1" s="1"/>
  <c r="M409" i="1" s="1"/>
  <c r="N410" i="1" a="1"/>
  <c r="N410" i="1" s="1"/>
  <c r="M410" i="1" s="1"/>
  <c r="N411" i="1" a="1"/>
  <c r="N411" i="1" s="1"/>
  <c r="M411" i="1" s="1"/>
  <c r="N412" i="1" a="1"/>
  <c r="N412" i="1" s="1"/>
  <c r="M412" i="1" s="1"/>
  <c r="N413" i="1" a="1"/>
  <c r="N413" i="1" s="1"/>
  <c r="M413" i="1" s="1"/>
  <c r="N414" i="1" a="1"/>
  <c r="N414" i="1" s="1"/>
  <c r="M414" i="1" s="1"/>
  <c r="N415" i="1" a="1"/>
  <c r="N415" i="1" s="1"/>
  <c r="M415" i="1" s="1"/>
  <c r="N416" i="1" a="1"/>
  <c r="N416" i="1" s="1"/>
  <c r="M416" i="1" s="1"/>
  <c r="N417" i="1" a="1"/>
  <c r="N417" i="1" s="1"/>
  <c r="M417" i="1" s="1"/>
  <c r="N418" i="1" a="1"/>
  <c r="N418" i="1" s="1"/>
  <c r="M418" i="1" s="1"/>
  <c r="N419" i="1" a="1"/>
  <c r="N419" i="1" s="1"/>
  <c r="M419" i="1" s="1"/>
  <c r="N420" i="1" a="1"/>
  <c r="N420" i="1" s="1"/>
  <c r="M420" i="1" s="1"/>
  <c r="N421" i="1" a="1"/>
  <c r="N421" i="1" s="1"/>
  <c r="M421" i="1" s="1"/>
  <c r="N422" i="1" a="1"/>
  <c r="N422" i="1" s="1"/>
  <c r="M422" i="1" s="1"/>
  <c r="N423" i="1" a="1"/>
  <c r="N423" i="1" s="1"/>
  <c r="M423" i="1" s="1"/>
  <c r="N424" i="1" a="1"/>
  <c r="N424" i="1" s="1"/>
  <c r="M424" i="1" s="1"/>
  <c r="N425" i="1" a="1"/>
  <c r="N425" i="1" s="1"/>
  <c r="M425" i="1" s="1"/>
  <c r="N426" i="1" a="1"/>
  <c r="N426" i="1" s="1"/>
  <c r="M426" i="1" s="1"/>
  <c r="N427" i="1" a="1"/>
  <c r="N427" i="1" s="1"/>
  <c r="M427" i="1" s="1"/>
  <c r="N428" i="1" a="1"/>
  <c r="N428" i="1" s="1"/>
  <c r="M428" i="1" s="1"/>
  <c r="N429" i="1" a="1"/>
  <c r="N429" i="1" s="1"/>
  <c r="M429" i="1" s="1"/>
  <c r="N430" i="1" a="1"/>
  <c r="N430" i="1" s="1"/>
  <c r="M430" i="1" s="1"/>
  <c r="N431" i="1" a="1"/>
  <c r="N431" i="1" s="1"/>
  <c r="M431" i="1" s="1"/>
  <c r="N432" i="1" a="1"/>
  <c r="N432" i="1" s="1"/>
  <c r="M432" i="1" s="1"/>
  <c r="N433" i="1" a="1"/>
  <c r="N433" i="1" s="1"/>
  <c r="M433" i="1" s="1"/>
  <c r="N434" i="1" a="1"/>
  <c r="N434" i="1" s="1"/>
  <c r="M434" i="1" s="1"/>
  <c r="N435" i="1" a="1"/>
  <c r="N435" i="1" s="1"/>
  <c r="M435" i="1" s="1"/>
  <c r="N436" i="1" a="1"/>
  <c r="N436" i="1" s="1"/>
  <c r="M436" i="1" s="1"/>
  <c r="N437" i="1" a="1"/>
  <c r="N437" i="1" s="1"/>
  <c r="M437" i="1" s="1"/>
  <c r="N438" i="1" a="1"/>
  <c r="N438" i="1" s="1"/>
  <c r="M438" i="1" s="1"/>
  <c r="N439" i="1" a="1"/>
  <c r="N439" i="1" s="1"/>
  <c r="M439" i="1" s="1"/>
  <c r="N440" i="1" a="1"/>
  <c r="N440" i="1" s="1"/>
  <c r="M440" i="1" s="1"/>
  <c r="N441" i="1" a="1"/>
  <c r="N441" i="1" s="1"/>
  <c r="M441" i="1" s="1"/>
  <c r="N442" i="1" a="1"/>
  <c r="N442" i="1" s="1"/>
  <c r="M442" i="1" s="1"/>
  <c r="N443" i="1" a="1"/>
  <c r="N443" i="1" s="1"/>
  <c r="M443" i="1" s="1"/>
  <c r="N444" i="1" a="1"/>
  <c r="N444" i="1" s="1"/>
  <c r="M444" i="1" s="1"/>
  <c r="N445" i="1" a="1"/>
  <c r="N445" i="1" s="1"/>
  <c r="M445" i="1" s="1"/>
  <c r="N446" i="1" a="1"/>
  <c r="N446" i="1" s="1"/>
  <c r="M446" i="1" s="1"/>
  <c r="N447" i="1" a="1"/>
  <c r="N447" i="1" s="1"/>
  <c r="M447" i="1" s="1"/>
  <c r="N448" i="1" a="1"/>
  <c r="N448" i="1" s="1"/>
  <c r="M448" i="1" s="1"/>
  <c r="N449" i="1" a="1"/>
  <c r="N449" i="1" s="1"/>
  <c r="M449" i="1" s="1"/>
  <c r="N450" i="1" a="1"/>
  <c r="N450" i="1" s="1"/>
  <c r="M450" i="1" s="1"/>
  <c r="N451" i="1" a="1"/>
  <c r="N451" i="1" s="1"/>
  <c r="M451" i="1" s="1"/>
  <c r="N452" i="1" a="1"/>
  <c r="N452" i="1" s="1"/>
  <c r="M452" i="1" s="1"/>
  <c r="N453" i="1" a="1"/>
  <c r="N453" i="1" s="1"/>
  <c r="M453" i="1" s="1"/>
  <c r="N454" i="1" a="1"/>
  <c r="N454" i="1" s="1"/>
  <c r="M454" i="1" s="1"/>
  <c r="N455" i="1" a="1"/>
  <c r="N455" i="1" s="1"/>
  <c r="M455" i="1" s="1"/>
  <c r="N456" i="1" a="1"/>
  <c r="N456" i="1" s="1"/>
  <c r="M456" i="1" s="1"/>
  <c r="N457" i="1" a="1"/>
  <c r="N457" i="1" s="1"/>
  <c r="M457" i="1" s="1"/>
  <c r="N458" i="1" a="1"/>
  <c r="N458" i="1" s="1"/>
  <c r="M458" i="1" s="1"/>
  <c r="N459" i="1" a="1"/>
  <c r="N459" i="1" s="1"/>
  <c r="M459" i="1" s="1"/>
  <c r="N460" i="1" a="1"/>
  <c r="N460" i="1" s="1"/>
  <c r="M460" i="1" s="1"/>
  <c r="N461" i="1" a="1"/>
  <c r="N461" i="1" s="1"/>
  <c r="M461" i="1" s="1"/>
  <c r="N462" i="1" a="1"/>
  <c r="N462" i="1" s="1"/>
  <c r="M462" i="1" s="1"/>
  <c r="N463" i="1" a="1"/>
  <c r="N463" i="1" s="1"/>
  <c r="M463" i="1" s="1"/>
  <c r="N464" i="1" a="1"/>
  <c r="N464" i="1" s="1"/>
  <c r="M464" i="1" s="1"/>
  <c r="N465" i="1" a="1"/>
  <c r="N465" i="1" s="1"/>
  <c r="M465" i="1" s="1"/>
  <c r="N466" i="1" a="1"/>
  <c r="N466" i="1" s="1"/>
  <c r="M466" i="1" s="1"/>
  <c r="N467" i="1" a="1"/>
  <c r="N467" i="1" s="1"/>
  <c r="M467" i="1" s="1"/>
  <c r="N468" i="1" a="1"/>
  <c r="N468" i="1" s="1"/>
  <c r="M468" i="1" s="1"/>
  <c r="N469" i="1" a="1"/>
  <c r="N469" i="1" s="1"/>
  <c r="M469" i="1" s="1"/>
  <c r="N470" i="1" a="1"/>
  <c r="N470" i="1" s="1"/>
  <c r="M470" i="1" s="1"/>
  <c r="N471" i="1" a="1"/>
  <c r="N471" i="1" s="1"/>
  <c r="M471" i="1" s="1"/>
  <c r="N472" i="1" a="1"/>
  <c r="N472" i="1" s="1"/>
  <c r="M472" i="1" s="1"/>
  <c r="N473" i="1" a="1"/>
  <c r="N473" i="1" s="1"/>
  <c r="M473" i="1" s="1"/>
  <c r="N474" i="1" a="1"/>
  <c r="N474" i="1" s="1"/>
  <c r="M474" i="1" s="1"/>
  <c r="N475" i="1" a="1"/>
  <c r="N475" i="1" s="1"/>
  <c r="M475" i="1" s="1"/>
  <c r="N476" i="1" a="1"/>
  <c r="N476" i="1" s="1"/>
  <c r="M476" i="1" s="1"/>
  <c r="N477" i="1" a="1"/>
  <c r="N477" i="1" s="1"/>
  <c r="M477" i="1" s="1"/>
  <c r="N478" i="1" a="1"/>
  <c r="N478" i="1" s="1"/>
  <c r="M478" i="1" s="1"/>
  <c r="N479" i="1" a="1"/>
  <c r="N479" i="1" s="1"/>
  <c r="M479" i="1" s="1"/>
  <c r="N480" i="1" a="1"/>
  <c r="N480" i="1" s="1"/>
  <c r="M480" i="1" s="1"/>
  <c r="N481" i="1" a="1"/>
  <c r="N481" i="1" s="1"/>
  <c r="M481" i="1" s="1"/>
  <c r="N482" i="1" a="1"/>
  <c r="N482" i="1" s="1"/>
  <c r="M482" i="1" s="1"/>
  <c r="N483" i="1" a="1"/>
  <c r="N483" i="1" s="1"/>
  <c r="M483" i="1" s="1"/>
  <c r="N484" i="1" a="1"/>
  <c r="N484" i="1" s="1"/>
  <c r="M484" i="1" s="1"/>
  <c r="N485" i="1" a="1"/>
  <c r="N485" i="1" s="1"/>
  <c r="M485" i="1" s="1"/>
  <c r="N486" i="1" a="1"/>
  <c r="N486" i="1" s="1"/>
  <c r="M486" i="1" s="1"/>
  <c r="N487" i="1" a="1"/>
  <c r="N487" i="1" s="1"/>
  <c r="M487" i="1" s="1"/>
  <c r="N488" i="1" a="1"/>
  <c r="N488" i="1" s="1"/>
  <c r="M488" i="1" s="1"/>
  <c r="N489" i="1" a="1"/>
  <c r="N489" i="1" s="1"/>
  <c r="M489" i="1" s="1"/>
  <c r="N490" i="1" a="1"/>
  <c r="N490" i="1" s="1"/>
  <c r="M490" i="1" s="1"/>
  <c r="N491" i="1" a="1"/>
  <c r="N491" i="1" s="1"/>
  <c r="M491" i="1" s="1"/>
  <c r="N492" i="1" a="1"/>
  <c r="N492" i="1" s="1"/>
  <c r="M492" i="1" s="1"/>
  <c r="N493" i="1" a="1"/>
  <c r="N493" i="1" s="1"/>
  <c r="M493" i="1" s="1"/>
  <c r="N494" i="1" a="1"/>
  <c r="N494" i="1" s="1"/>
  <c r="M494" i="1" s="1"/>
  <c r="N495" i="1" a="1"/>
  <c r="N495" i="1" s="1"/>
  <c r="M495" i="1" s="1"/>
  <c r="N496" i="1" a="1"/>
  <c r="N496" i="1" s="1"/>
  <c r="M496" i="1" s="1"/>
  <c r="N497" i="1" a="1"/>
  <c r="N497" i="1" s="1"/>
  <c r="M497" i="1" s="1"/>
  <c r="N498" i="1" a="1"/>
  <c r="N498" i="1" s="1"/>
  <c r="M498" i="1" s="1"/>
  <c r="N499" i="1" a="1"/>
  <c r="N499" i="1" s="1"/>
  <c r="M499" i="1" s="1"/>
  <c r="N500" i="1" a="1"/>
  <c r="N500" i="1" s="1"/>
  <c r="M500" i="1" s="1"/>
  <c r="N501" i="1" a="1"/>
  <c r="N501" i="1" s="1"/>
  <c r="M501" i="1" s="1"/>
  <c r="N502" i="1" a="1"/>
  <c r="N502" i="1" s="1"/>
  <c r="M502" i="1" s="1"/>
  <c r="N503" i="1" a="1"/>
  <c r="N503" i="1" s="1"/>
  <c r="M503" i="1" s="1"/>
  <c r="N504" i="1" a="1"/>
  <c r="N504" i="1" s="1"/>
  <c r="M504" i="1" s="1"/>
  <c r="N505" i="1" a="1"/>
  <c r="N505" i="1" s="1"/>
  <c r="M505" i="1" s="1"/>
  <c r="N506" i="1" a="1"/>
  <c r="N506" i="1" s="1"/>
  <c r="M506" i="1" s="1"/>
  <c r="N507" i="1" a="1"/>
  <c r="N507" i="1" s="1"/>
  <c r="M507" i="1" s="1"/>
  <c r="N508" i="1" a="1"/>
  <c r="N508" i="1" s="1"/>
  <c r="M508" i="1" s="1"/>
  <c r="N509" i="1" a="1"/>
  <c r="N509" i="1" s="1"/>
  <c r="M509" i="1" s="1"/>
  <c r="N510" i="1" a="1"/>
  <c r="N510" i="1" s="1"/>
  <c r="M510" i="1" s="1"/>
  <c r="N511" i="1" a="1"/>
  <c r="N511" i="1" s="1"/>
  <c r="M511" i="1" s="1"/>
  <c r="N512" i="1" a="1"/>
  <c r="N512" i="1" s="1"/>
  <c r="M512" i="1" s="1"/>
  <c r="N513" i="1" a="1"/>
  <c r="N513" i="1" s="1"/>
  <c r="M513" i="1" s="1"/>
  <c r="N514" i="1" a="1"/>
  <c r="N514" i="1" s="1"/>
  <c r="M514" i="1" s="1"/>
  <c r="N515" i="1" a="1"/>
  <c r="N515" i="1" s="1"/>
  <c r="M515" i="1" s="1"/>
  <c r="N516" i="1" a="1"/>
  <c r="N516" i="1" s="1"/>
  <c r="M516" i="1" s="1"/>
  <c r="N517" i="1" a="1"/>
  <c r="N517" i="1" s="1"/>
  <c r="M517" i="1" s="1"/>
  <c r="N518" i="1" a="1"/>
  <c r="N518" i="1" s="1"/>
  <c r="M518" i="1" s="1"/>
  <c r="N519" i="1" a="1"/>
  <c r="N519" i="1" s="1"/>
  <c r="M519" i="1" s="1"/>
  <c r="N520" i="1" a="1"/>
  <c r="N520" i="1" s="1"/>
  <c r="M520" i="1" s="1"/>
  <c r="N521" i="1" a="1"/>
  <c r="N521" i="1" s="1"/>
  <c r="M521" i="1" s="1"/>
  <c r="N522" i="1" a="1"/>
  <c r="N522" i="1" s="1"/>
  <c r="M522" i="1" s="1"/>
  <c r="N523" i="1" a="1"/>
  <c r="N523" i="1" s="1"/>
  <c r="M523" i="1" s="1"/>
  <c r="N524" i="1" a="1"/>
  <c r="N524" i="1" s="1"/>
  <c r="M524" i="1" s="1"/>
  <c r="N525" i="1" a="1"/>
  <c r="N525" i="1" s="1"/>
  <c r="M525" i="1" s="1"/>
  <c r="N526" i="1" a="1"/>
  <c r="N526" i="1" s="1"/>
  <c r="M526" i="1" s="1"/>
  <c r="N527" i="1" a="1"/>
  <c r="N527" i="1" s="1"/>
  <c r="M527" i="1" s="1"/>
  <c r="N528" i="1" a="1"/>
  <c r="N528" i="1" s="1"/>
  <c r="M528" i="1" s="1"/>
  <c r="N529" i="1" a="1"/>
  <c r="N529" i="1" s="1"/>
  <c r="M529" i="1" s="1"/>
  <c r="N530" i="1" a="1"/>
  <c r="N530" i="1" s="1"/>
  <c r="M530" i="1" s="1"/>
  <c r="N531" i="1" a="1"/>
  <c r="N531" i="1" s="1"/>
  <c r="M531" i="1" s="1"/>
  <c r="N532" i="1" a="1"/>
  <c r="N532" i="1" s="1"/>
  <c r="M532" i="1" s="1"/>
  <c r="N533" i="1" a="1"/>
  <c r="N533" i="1" s="1"/>
  <c r="M533" i="1" s="1"/>
  <c r="N534" i="1" a="1"/>
  <c r="N534" i="1" s="1"/>
  <c r="M534" i="1" s="1"/>
  <c r="N535" i="1" a="1"/>
  <c r="N535" i="1" s="1"/>
  <c r="M535" i="1" s="1"/>
  <c r="N536" i="1" a="1"/>
  <c r="N536" i="1" s="1"/>
  <c r="M536" i="1" s="1"/>
  <c r="N537" i="1" a="1"/>
  <c r="N537" i="1" s="1"/>
  <c r="M537" i="1" s="1"/>
  <c r="N538" i="1" a="1"/>
  <c r="N538" i="1" s="1"/>
  <c r="M538" i="1" s="1"/>
  <c r="N539" i="1" a="1"/>
  <c r="N539" i="1" s="1"/>
  <c r="M539" i="1" s="1"/>
  <c r="N540" i="1" a="1"/>
  <c r="N540" i="1" s="1"/>
  <c r="M540" i="1" s="1"/>
  <c r="N541" i="1" a="1"/>
  <c r="N541" i="1" s="1"/>
  <c r="M541" i="1" s="1"/>
  <c r="N542" i="1" a="1"/>
  <c r="N542" i="1" s="1"/>
  <c r="M542" i="1" s="1"/>
  <c r="N543" i="1" a="1"/>
  <c r="N543" i="1" s="1"/>
  <c r="M543" i="1" s="1"/>
  <c r="N544" i="1" a="1"/>
  <c r="N544" i="1" s="1"/>
  <c r="M544" i="1" s="1"/>
  <c r="N545" i="1" a="1"/>
  <c r="N545" i="1" s="1"/>
  <c r="M545" i="1" s="1"/>
  <c r="N546" i="1" a="1"/>
  <c r="N546" i="1" s="1"/>
  <c r="M546" i="1" s="1"/>
  <c r="N547" i="1" a="1"/>
  <c r="N547" i="1" s="1"/>
  <c r="M547" i="1" s="1"/>
  <c r="N548" i="1" a="1"/>
  <c r="N548" i="1" s="1"/>
  <c r="M548" i="1" s="1"/>
  <c r="N549" i="1" a="1"/>
  <c r="N549" i="1" s="1"/>
  <c r="M549" i="1" s="1"/>
  <c r="N550" i="1" a="1"/>
  <c r="N550" i="1" s="1"/>
  <c r="M550" i="1" s="1"/>
  <c r="N551" i="1" a="1"/>
  <c r="N551" i="1" s="1"/>
  <c r="M551" i="1" s="1"/>
  <c r="N552" i="1" a="1"/>
  <c r="N552" i="1" s="1"/>
  <c r="M552" i="1" s="1"/>
  <c r="N553" i="1" a="1"/>
  <c r="N553" i="1" s="1"/>
  <c r="M553" i="1" s="1"/>
  <c r="N554" i="1" a="1"/>
  <c r="N554" i="1" s="1"/>
  <c r="M554" i="1" s="1"/>
  <c r="N555" i="1" a="1"/>
  <c r="N555" i="1" s="1"/>
  <c r="M555" i="1" s="1"/>
  <c r="N556" i="1" a="1"/>
  <c r="N556" i="1" s="1"/>
  <c r="M556" i="1" s="1"/>
  <c r="N557" i="1" a="1"/>
  <c r="N557" i="1" s="1"/>
  <c r="M557" i="1" s="1"/>
  <c r="N558" i="1" a="1"/>
  <c r="N558" i="1" s="1"/>
  <c r="M558" i="1" s="1"/>
  <c r="N559" i="1" a="1"/>
  <c r="N559" i="1" s="1"/>
  <c r="M559" i="1" s="1"/>
  <c r="N560" i="1" a="1"/>
  <c r="N560" i="1" s="1"/>
  <c r="M560" i="1" s="1"/>
  <c r="N561" i="1" a="1"/>
  <c r="N561" i="1" s="1"/>
  <c r="M561" i="1" s="1"/>
  <c r="N562" i="1" a="1"/>
  <c r="N562" i="1" s="1"/>
  <c r="M562" i="1" s="1"/>
  <c r="N563" i="1" a="1"/>
  <c r="N563" i="1" s="1"/>
  <c r="M563" i="1" s="1"/>
  <c r="N564" i="1" a="1"/>
  <c r="N564" i="1" s="1"/>
  <c r="M564" i="1" s="1"/>
  <c r="N565" i="1" a="1"/>
  <c r="N565" i="1" s="1"/>
  <c r="M565" i="1" s="1"/>
  <c r="N566" i="1" a="1"/>
  <c r="N566" i="1" s="1"/>
  <c r="M566" i="1" s="1"/>
  <c r="N567" i="1" a="1"/>
  <c r="N567" i="1" s="1"/>
  <c r="M567" i="1" s="1"/>
  <c r="N568" i="1" a="1"/>
  <c r="N568" i="1" s="1"/>
  <c r="M568" i="1" s="1"/>
  <c r="N569" i="1" a="1"/>
  <c r="N569" i="1" s="1"/>
  <c r="M569" i="1" s="1"/>
  <c r="N570" i="1" a="1"/>
  <c r="N570" i="1" s="1"/>
  <c r="M570" i="1" s="1"/>
  <c r="N571" i="1" a="1"/>
  <c r="N571" i="1" s="1"/>
  <c r="M571" i="1" s="1"/>
  <c r="N572" i="1" a="1"/>
  <c r="N572" i="1" s="1"/>
  <c r="M572" i="1" s="1"/>
  <c r="N573" i="1" a="1"/>
  <c r="N573" i="1" s="1"/>
  <c r="M573" i="1" s="1"/>
  <c r="N574" i="1" a="1"/>
  <c r="N574" i="1" s="1"/>
  <c r="M574" i="1" s="1"/>
  <c r="N575" i="1" a="1"/>
  <c r="N575" i="1" s="1"/>
  <c r="M575" i="1" s="1"/>
  <c r="N576" i="1" a="1"/>
  <c r="N576" i="1" s="1"/>
  <c r="M576" i="1" s="1"/>
  <c r="N577" i="1" a="1"/>
  <c r="N577" i="1" s="1"/>
  <c r="M577" i="1" s="1"/>
  <c r="N578" i="1" a="1"/>
  <c r="N578" i="1" s="1"/>
  <c r="M578" i="1" s="1"/>
  <c r="N579" i="1" a="1"/>
  <c r="N579" i="1" s="1"/>
  <c r="M579" i="1" s="1"/>
  <c r="N580" i="1" a="1"/>
  <c r="N580" i="1" s="1"/>
  <c r="M580" i="1" s="1"/>
  <c r="N581" i="1" a="1"/>
  <c r="N581" i="1" s="1"/>
  <c r="M581" i="1" s="1"/>
  <c r="N582" i="1" a="1"/>
  <c r="N582" i="1" s="1"/>
  <c r="M582" i="1" s="1"/>
  <c r="N583" i="1" a="1"/>
  <c r="N583" i="1" s="1"/>
  <c r="M583" i="1" s="1"/>
  <c r="N584" i="1" a="1"/>
  <c r="N584" i="1" s="1"/>
  <c r="M584" i="1" s="1"/>
  <c r="N585" i="1" a="1"/>
  <c r="N585" i="1" s="1"/>
  <c r="M585" i="1" s="1"/>
  <c r="N586" i="1" a="1"/>
  <c r="N586" i="1" s="1"/>
  <c r="M586" i="1" s="1"/>
  <c r="N587" i="1" a="1"/>
  <c r="N587" i="1" s="1"/>
  <c r="M587" i="1" s="1"/>
  <c r="N588" i="1" a="1"/>
  <c r="N588" i="1" s="1"/>
  <c r="M588" i="1" s="1"/>
  <c r="N589" i="1" a="1"/>
  <c r="N589" i="1" s="1"/>
  <c r="M589" i="1" s="1"/>
  <c r="N590" i="1" a="1"/>
  <c r="N590" i="1" s="1"/>
  <c r="M590" i="1" s="1"/>
  <c r="N591" i="1" a="1"/>
  <c r="N591" i="1" s="1"/>
  <c r="M591" i="1" s="1"/>
  <c r="N592" i="1" a="1"/>
  <c r="N592" i="1" s="1"/>
  <c r="M592" i="1" s="1"/>
  <c r="N593" i="1" a="1"/>
  <c r="N593" i="1" s="1"/>
  <c r="M593" i="1" s="1"/>
  <c r="N594" i="1" a="1"/>
  <c r="N594" i="1" s="1"/>
  <c r="M594" i="1" s="1"/>
  <c r="N595" i="1" a="1"/>
  <c r="N595" i="1" s="1"/>
  <c r="M595" i="1" s="1"/>
  <c r="N596" i="1" a="1"/>
  <c r="N596" i="1" s="1"/>
  <c r="M596" i="1" s="1"/>
  <c r="N597" i="1" a="1"/>
  <c r="N597" i="1" s="1"/>
  <c r="M597" i="1" s="1"/>
  <c r="N598" i="1" a="1"/>
  <c r="N598" i="1" s="1"/>
  <c r="M598" i="1" s="1"/>
  <c r="N599" i="1" a="1"/>
  <c r="N599" i="1" s="1"/>
  <c r="M599" i="1" s="1"/>
  <c r="N600" i="1" a="1"/>
  <c r="N600" i="1" s="1"/>
  <c r="M600" i="1" s="1"/>
  <c r="N601" i="1" a="1"/>
  <c r="N601" i="1" s="1"/>
  <c r="M601" i="1" s="1"/>
  <c r="N602" i="1" a="1"/>
  <c r="N602" i="1" s="1"/>
  <c r="M602" i="1" s="1"/>
  <c r="N603" i="1" a="1"/>
  <c r="N603" i="1" s="1"/>
  <c r="M603" i="1" s="1"/>
  <c r="N604" i="1" a="1"/>
  <c r="N604" i="1" s="1"/>
  <c r="M604" i="1" s="1"/>
  <c r="N605" i="1" a="1"/>
  <c r="N605" i="1" s="1"/>
  <c r="M605" i="1" s="1"/>
  <c r="N606" i="1" a="1"/>
  <c r="N606" i="1" s="1"/>
  <c r="M606" i="1" s="1"/>
  <c r="N607" i="1" a="1"/>
  <c r="N607" i="1" s="1"/>
  <c r="M607" i="1" s="1"/>
  <c r="N608" i="1" a="1"/>
  <c r="N608" i="1" s="1"/>
  <c r="M608" i="1" s="1"/>
  <c r="N609" i="1" a="1"/>
  <c r="N609" i="1" s="1"/>
  <c r="M609" i="1" s="1"/>
  <c r="N610" i="1" a="1"/>
  <c r="N610" i="1" s="1"/>
  <c r="M610" i="1" s="1"/>
  <c r="N611" i="1" a="1"/>
  <c r="N611" i="1" s="1"/>
  <c r="M611" i="1" s="1"/>
  <c r="N612" i="1" a="1"/>
  <c r="N612" i="1" s="1"/>
  <c r="M612" i="1" s="1"/>
  <c r="N613" i="1" a="1"/>
  <c r="N613" i="1" s="1"/>
  <c r="M613" i="1" s="1"/>
  <c r="N614" i="1" a="1"/>
  <c r="N614" i="1" s="1"/>
  <c r="M614" i="1" s="1"/>
  <c r="N615" i="1" a="1"/>
  <c r="N615" i="1" s="1"/>
  <c r="M615" i="1" s="1"/>
  <c r="N616" i="1" a="1"/>
  <c r="N616" i="1" s="1"/>
  <c r="M616" i="1" s="1"/>
  <c r="N617" i="1" a="1"/>
  <c r="N617" i="1" s="1"/>
  <c r="M617" i="1" s="1"/>
  <c r="N618" i="1" a="1"/>
  <c r="N618" i="1" s="1"/>
  <c r="M618" i="1" s="1"/>
  <c r="N619" i="1" a="1"/>
  <c r="N619" i="1" s="1"/>
  <c r="M619" i="1" s="1"/>
  <c r="N620" i="1" a="1"/>
  <c r="N620" i="1" s="1"/>
  <c r="M620" i="1" s="1"/>
  <c r="N621" i="1" a="1"/>
  <c r="N621" i="1" s="1"/>
  <c r="M621" i="1" s="1"/>
  <c r="N622" i="1" a="1"/>
  <c r="N622" i="1" s="1"/>
  <c r="M622" i="1" s="1"/>
  <c r="N623" i="1" a="1"/>
  <c r="N623" i="1" s="1"/>
  <c r="M623" i="1" s="1"/>
  <c r="N624" i="1" a="1"/>
  <c r="N624" i="1" s="1"/>
  <c r="M624" i="1" s="1"/>
  <c r="N625" i="1" a="1"/>
  <c r="N625" i="1" s="1"/>
  <c r="M625" i="1" s="1"/>
  <c r="N626" i="1" a="1"/>
  <c r="N626" i="1" s="1"/>
  <c r="M626" i="1" s="1"/>
  <c r="N627" i="1" a="1"/>
  <c r="N627" i="1" s="1"/>
  <c r="M627" i="1" s="1"/>
  <c r="N628" i="1" a="1"/>
  <c r="N628" i="1" s="1"/>
  <c r="M628" i="1" s="1"/>
  <c r="N629" i="1" a="1"/>
  <c r="N629" i="1" s="1"/>
  <c r="M629" i="1" s="1"/>
  <c r="N630" i="1" a="1"/>
  <c r="N630" i="1" s="1"/>
  <c r="M630" i="1" s="1"/>
  <c r="N631" i="1" a="1"/>
  <c r="N631" i="1" s="1"/>
  <c r="M631" i="1" s="1"/>
  <c r="N632" i="1" a="1"/>
  <c r="N632" i="1" s="1"/>
  <c r="M632" i="1" s="1"/>
  <c r="N633" i="1" a="1"/>
  <c r="N633" i="1" s="1"/>
  <c r="M633" i="1" s="1"/>
  <c r="N634" i="1" a="1"/>
  <c r="N634" i="1" s="1"/>
  <c r="M634" i="1" s="1"/>
  <c r="N635" i="1" a="1"/>
  <c r="N635" i="1" s="1"/>
  <c r="M635" i="1" s="1"/>
  <c r="N636" i="1" a="1"/>
  <c r="N636" i="1" s="1"/>
  <c r="M636" i="1" s="1"/>
  <c r="N637" i="1" a="1"/>
  <c r="N637" i="1" s="1"/>
  <c r="M637" i="1" s="1"/>
  <c r="N638" i="1" a="1"/>
  <c r="N638" i="1" s="1"/>
  <c r="M638" i="1" s="1"/>
  <c r="N639" i="1" a="1"/>
  <c r="N639" i="1" s="1"/>
  <c r="M639" i="1" s="1"/>
  <c r="N640" i="1" a="1"/>
  <c r="N640" i="1" s="1"/>
  <c r="M640" i="1" s="1"/>
  <c r="N641" i="1" a="1"/>
  <c r="N641" i="1" s="1"/>
  <c r="M641" i="1" s="1"/>
  <c r="N642" i="1" a="1"/>
  <c r="N642" i="1" s="1"/>
  <c r="M642" i="1" s="1"/>
  <c r="N643" i="1" a="1"/>
  <c r="N643" i="1" s="1"/>
  <c r="M643" i="1" s="1"/>
  <c r="N644" i="1" a="1"/>
  <c r="N644" i="1" s="1"/>
  <c r="M644" i="1" s="1"/>
  <c r="N645" i="1" a="1"/>
  <c r="N645" i="1" s="1"/>
  <c r="M645" i="1" s="1"/>
  <c r="N646" i="1" a="1"/>
  <c r="N646" i="1" s="1"/>
  <c r="M646" i="1" s="1"/>
  <c r="N647" i="1" a="1"/>
  <c r="N647" i="1" s="1"/>
  <c r="M647" i="1" s="1"/>
  <c r="N648" i="1" a="1"/>
  <c r="N648" i="1" s="1"/>
  <c r="M648" i="1" s="1"/>
  <c r="N649" i="1" a="1"/>
  <c r="N649" i="1" s="1"/>
  <c r="M649" i="1" s="1"/>
  <c r="N650" i="1" a="1"/>
  <c r="N650" i="1" s="1"/>
  <c r="M650" i="1" s="1"/>
  <c r="N651" i="1" a="1"/>
  <c r="N651" i="1" s="1"/>
  <c r="M651" i="1" s="1"/>
  <c r="N652" i="1" a="1"/>
  <c r="N652" i="1" s="1"/>
  <c r="M652" i="1" s="1"/>
  <c r="N653" i="1" a="1"/>
  <c r="N653" i="1" s="1"/>
  <c r="M653" i="1" s="1"/>
  <c r="N654" i="1" a="1"/>
  <c r="N654" i="1" s="1"/>
  <c r="M654" i="1" s="1"/>
  <c r="N655" i="1" a="1"/>
  <c r="N655" i="1" s="1"/>
  <c r="M655" i="1" s="1"/>
  <c r="N656" i="1" a="1"/>
  <c r="N656" i="1" s="1"/>
  <c r="M656" i="1" s="1"/>
  <c r="N657" i="1" a="1"/>
  <c r="N657" i="1" s="1"/>
  <c r="M657" i="1" s="1"/>
  <c r="N658" i="1" a="1"/>
  <c r="N658" i="1" s="1"/>
  <c r="M658" i="1" s="1"/>
  <c r="N659" i="1" a="1"/>
  <c r="N659" i="1" s="1"/>
  <c r="M659" i="1" s="1"/>
  <c r="N660" i="1" a="1"/>
  <c r="N660" i="1" s="1"/>
  <c r="M660" i="1" s="1"/>
  <c r="N661" i="1" a="1"/>
  <c r="N661" i="1" s="1"/>
  <c r="M661" i="1" s="1"/>
  <c r="N662" i="1" a="1"/>
  <c r="N662" i="1" s="1"/>
  <c r="M662" i="1" s="1"/>
  <c r="N663" i="1" a="1"/>
  <c r="N663" i="1" s="1"/>
  <c r="M663" i="1" s="1"/>
  <c r="N664" i="1" a="1"/>
  <c r="N664" i="1" s="1"/>
  <c r="M664" i="1" s="1"/>
  <c r="N665" i="1" a="1"/>
  <c r="N665" i="1" s="1"/>
  <c r="M665" i="1" s="1"/>
  <c r="N666" i="1" a="1"/>
  <c r="N666" i="1" s="1"/>
  <c r="M666" i="1" s="1"/>
  <c r="N667" i="1" a="1"/>
  <c r="N667" i="1" s="1"/>
  <c r="M667" i="1" s="1"/>
  <c r="N668" i="1" a="1"/>
  <c r="N668" i="1" s="1"/>
  <c r="M668" i="1" s="1"/>
  <c r="N669" i="1" a="1"/>
  <c r="N669" i="1" s="1"/>
  <c r="M669" i="1" s="1"/>
  <c r="N670" i="1" a="1"/>
  <c r="N670" i="1" s="1"/>
  <c r="M670" i="1" s="1"/>
  <c r="N671" i="1" a="1"/>
  <c r="N671" i="1" s="1"/>
  <c r="M671" i="1" s="1"/>
  <c r="N672" i="1" a="1"/>
  <c r="N672" i="1" s="1"/>
  <c r="M672" i="1" s="1"/>
  <c r="N673" i="1" a="1"/>
  <c r="N673" i="1" s="1"/>
  <c r="M673" i="1" s="1"/>
  <c r="N674" i="1" a="1"/>
  <c r="N674" i="1" s="1"/>
  <c r="M674" i="1" s="1"/>
  <c r="N675" i="1" a="1"/>
  <c r="N675" i="1" s="1"/>
  <c r="M675" i="1" s="1"/>
  <c r="N676" i="1" a="1"/>
  <c r="N676" i="1" s="1"/>
  <c r="M676" i="1" s="1"/>
  <c r="N677" i="1" a="1"/>
  <c r="N677" i="1" s="1"/>
  <c r="M677" i="1" s="1"/>
  <c r="N678" i="1" a="1"/>
  <c r="N678" i="1" s="1"/>
  <c r="M678" i="1" s="1"/>
  <c r="N679" i="1" a="1"/>
  <c r="N679" i="1" s="1"/>
  <c r="M679" i="1" s="1"/>
  <c r="N680" i="1" a="1"/>
  <c r="N680" i="1" s="1"/>
  <c r="M680" i="1" s="1"/>
  <c r="N681" i="1" a="1"/>
  <c r="N681" i="1" s="1"/>
  <c r="M681" i="1" s="1"/>
  <c r="N682" i="1" a="1"/>
  <c r="N682" i="1" s="1"/>
  <c r="M682" i="1" s="1"/>
  <c r="N683" i="1" a="1"/>
  <c r="N683" i="1" s="1"/>
  <c r="M683" i="1" s="1"/>
  <c r="N684" i="1" a="1"/>
  <c r="N684" i="1" s="1"/>
  <c r="M684" i="1" s="1"/>
  <c r="N685" i="1" a="1"/>
  <c r="N685" i="1" s="1"/>
  <c r="M685" i="1" s="1"/>
  <c r="N686" i="1" a="1"/>
  <c r="N686" i="1" s="1"/>
  <c r="M686" i="1" s="1"/>
  <c r="N687" i="1" a="1"/>
  <c r="N687" i="1" s="1"/>
  <c r="M687" i="1" s="1"/>
  <c r="N688" i="1" a="1"/>
  <c r="N688" i="1" s="1"/>
  <c r="M688" i="1" s="1"/>
  <c r="N689" i="1" a="1"/>
  <c r="N689" i="1" s="1"/>
  <c r="M689" i="1" s="1"/>
  <c r="N690" i="1" a="1"/>
  <c r="N690" i="1" s="1"/>
  <c r="M690" i="1" s="1"/>
  <c r="N691" i="1" a="1"/>
  <c r="N691" i="1" s="1"/>
  <c r="M691" i="1" s="1"/>
  <c r="N692" i="1" a="1"/>
  <c r="N692" i="1" s="1"/>
  <c r="M692" i="1" s="1"/>
  <c r="N693" i="1" a="1"/>
  <c r="N693" i="1" s="1"/>
  <c r="M693" i="1" s="1"/>
  <c r="N694" i="1" a="1"/>
  <c r="N694" i="1" s="1"/>
  <c r="M694" i="1" s="1"/>
  <c r="N695" i="1" a="1"/>
  <c r="N695" i="1" s="1"/>
  <c r="M695" i="1" s="1"/>
  <c r="N696" i="1" a="1"/>
  <c r="N696" i="1" s="1"/>
  <c r="M696" i="1" s="1"/>
  <c r="N697" i="1" a="1"/>
  <c r="N697" i="1" s="1"/>
  <c r="M697" i="1" s="1"/>
  <c r="N698" i="1" a="1"/>
  <c r="N698" i="1" s="1"/>
  <c r="M698" i="1" s="1"/>
  <c r="N699" i="1" a="1"/>
  <c r="N699" i="1" s="1"/>
  <c r="M699" i="1" s="1"/>
  <c r="N700" i="1" a="1"/>
  <c r="N700" i="1" s="1"/>
  <c r="M700" i="1" s="1"/>
  <c r="N701" i="1" a="1"/>
  <c r="N701" i="1" s="1"/>
  <c r="M701" i="1" s="1"/>
  <c r="N702" i="1" a="1"/>
  <c r="N702" i="1" s="1"/>
  <c r="M702" i="1" s="1"/>
  <c r="N703" i="1" a="1"/>
  <c r="N703" i="1" s="1"/>
  <c r="M703" i="1" s="1"/>
  <c r="N704" i="1" a="1"/>
  <c r="N704" i="1" s="1"/>
  <c r="M704" i="1" s="1"/>
  <c r="N705" i="1" a="1"/>
  <c r="N705" i="1" s="1"/>
  <c r="M705" i="1" s="1"/>
  <c r="N706" i="1" a="1"/>
  <c r="N706" i="1" s="1"/>
  <c r="M706" i="1" s="1"/>
  <c r="N707" i="1" a="1"/>
  <c r="N707" i="1" s="1"/>
  <c r="M707" i="1" s="1"/>
  <c r="N708" i="1" a="1"/>
  <c r="N708" i="1" s="1"/>
  <c r="M708" i="1" s="1"/>
  <c r="N709" i="1" a="1"/>
  <c r="N709" i="1" s="1"/>
  <c r="M709" i="1" s="1"/>
  <c r="N710" i="1" a="1"/>
  <c r="N710" i="1" s="1"/>
  <c r="M710" i="1" s="1"/>
  <c r="N711" i="1" a="1"/>
  <c r="N711" i="1" s="1"/>
  <c r="M711" i="1" s="1"/>
  <c r="N712" i="1" a="1"/>
  <c r="N712" i="1" s="1"/>
  <c r="M712" i="1" s="1"/>
  <c r="N713" i="1" a="1"/>
  <c r="N713" i="1" s="1"/>
  <c r="M713" i="1" s="1"/>
  <c r="N714" i="1" a="1"/>
  <c r="N714" i="1" s="1"/>
  <c r="M714" i="1" s="1"/>
  <c r="N715" i="1" a="1"/>
  <c r="N715" i="1" s="1"/>
  <c r="M715" i="1" s="1"/>
  <c r="N716" i="1" a="1"/>
  <c r="N716" i="1" s="1"/>
  <c r="M716" i="1" s="1"/>
  <c r="N717" i="1" a="1"/>
  <c r="N717" i="1" s="1"/>
  <c r="M717" i="1" s="1"/>
  <c r="N718" i="1" a="1"/>
  <c r="N718" i="1" s="1"/>
  <c r="M718" i="1" s="1"/>
  <c r="N719" i="1" a="1"/>
  <c r="N719" i="1" s="1"/>
  <c r="M719" i="1" s="1"/>
  <c r="N720" i="1" a="1"/>
  <c r="N720" i="1" s="1"/>
  <c r="M720" i="1" s="1"/>
  <c r="N721" i="1" a="1"/>
  <c r="N721" i="1" s="1"/>
  <c r="M721" i="1" s="1"/>
  <c r="N722" i="1" a="1"/>
  <c r="N722" i="1" s="1"/>
  <c r="M722" i="1" s="1"/>
  <c r="N723" i="1" a="1"/>
  <c r="N723" i="1" s="1"/>
  <c r="M723" i="1" s="1"/>
  <c r="N724" i="1" a="1"/>
  <c r="N724" i="1" s="1"/>
  <c r="M724" i="1" s="1"/>
  <c r="N725" i="1" a="1"/>
  <c r="N725" i="1" s="1"/>
  <c r="M725" i="1" s="1"/>
  <c r="N726" i="1" a="1"/>
  <c r="N726" i="1" s="1"/>
  <c r="M726" i="1" s="1"/>
  <c r="N727" i="1" a="1"/>
  <c r="N727" i="1" s="1"/>
  <c r="M727" i="1" s="1"/>
  <c r="N728" i="1" a="1"/>
  <c r="N728" i="1" s="1"/>
  <c r="M728" i="1" s="1"/>
  <c r="N729" i="1" a="1"/>
  <c r="N729" i="1" s="1"/>
  <c r="M729" i="1" s="1"/>
  <c r="N730" i="1" a="1"/>
  <c r="N730" i="1" s="1"/>
  <c r="M730" i="1" s="1"/>
  <c r="N731" i="1" a="1"/>
  <c r="N731" i="1" s="1"/>
  <c r="M731" i="1" s="1"/>
  <c r="N732" i="1" a="1"/>
  <c r="N732" i="1" s="1"/>
  <c r="M732" i="1" s="1"/>
  <c r="N733" i="1" a="1"/>
  <c r="N733" i="1" s="1"/>
  <c r="M733" i="1" s="1"/>
  <c r="N734" i="1" a="1"/>
  <c r="N734" i="1" s="1"/>
  <c r="M734" i="1" s="1"/>
  <c r="N735" i="1" a="1"/>
  <c r="N735" i="1" s="1"/>
  <c r="M735" i="1" s="1"/>
  <c r="N736" i="1" a="1"/>
  <c r="N736" i="1" s="1"/>
  <c r="M736" i="1" s="1"/>
  <c r="N737" i="1" a="1"/>
  <c r="N737" i="1" s="1"/>
  <c r="M737" i="1" s="1"/>
  <c r="N738" i="1" a="1"/>
  <c r="N738" i="1" s="1"/>
  <c r="M738" i="1" s="1"/>
  <c r="N739" i="1" a="1"/>
  <c r="N739" i="1" s="1"/>
  <c r="M739" i="1" s="1"/>
  <c r="N740" i="1" a="1"/>
  <c r="N740" i="1" s="1"/>
  <c r="M740" i="1" s="1"/>
  <c r="N741" i="1" a="1"/>
  <c r="N741" i="1" s="1"/>
  <c r="M741" i="1" s="1"/>
  <c r="N742" i="1" a="1"/>
  <c r="N742" i="1" s="1"/>
  <c r="M742" i="1" s="1"/>
  <c r="N743" i="1" a="1"/>
  <c r="N743" i="1" s="1"/>
  <c r="M743" i="1" s="1"/>
  <c r="N744" i="1" a="1"/>
  <c r="N744" i="1" s="1"/>
  <c r="M744" i="1" s="1"/>
  <c r="N745" i="1" a="1"/>
  <c r="N745" i="1" s="1"/>
  <c r="M745" i="1" s="1"/>
  <c r="N746" i="1" a="1"/>
  <c r="N746" i="1" s="1"/>
  <c r="M746" i="1" s="1"/>
  <c r="N747" i="1" a="1"/>
  <c r="N747" i="1" s="1"/>
  <c r="M747" i="1" s="1"/>
  <c r="N748" i="1" a="1"/>
  <c r="N748" i="1" s="1"/>
  <c r="M748" i="1" s="1"/>
  <c r="N749" i="1" a="1"/>
  <c r="N749" i="1" s="1"/>
  <c r="M749" i="1" s="1"/>
  <c r="N750" i="1" a="1"/>
  <c r="N750" i="1" s="1"/>
  <c r="M750" i="1" s="1"/>
  <c r="N751" i="1" a="1"/>
  <c r="N751" i="1" s="1"/>
  <c r="M751" i="1" s="1"/>
  <c r="N752" i="1" a="1"/>
  <c r="N752" i="1" s="1"/>
  <c r="M752" i="1" s="1"/>
  <c r="N753" i="1" a="1"/>
  <c r="N753" i="1" s="1"/>
  <c r="M753" i="1" s="1"/>
  <c r="N754" i="1" a="1"/>
  <c r="N754" i="1" s="1"/>
  <c r="M754" i="1" s="1"/>
  <c r="N755" i="1" a="1"/>
  <c r="N755" i="1" s="1"/>
  <c r="M755" i="1" s="1"/>
  <c r="N756" i="1" a="1"/>
  <c r="N756" i="1" s="1"/>
  <c r="M756" i="1" s="1"/>
  <c r="N757" i="1" a="1"/>
  <c r="N757" i="1" s="1"/>
  <c r="M757" i="1" s="1"/>
  <c r="N758" i="1" a="1"/>
  <c r="N758" i="1" s="1"/>
  <c r="M758" i="1" s="1"/>
  <c r="N759" i="1" a="1"/>
  <c r="N759" i="1" s="1"/>
  <c r="M759" i="1" s="1"/>
  <c r="N760" i="1" a="1"/>
  <c r="N760" i="1" s="1"/>
  <c r="M760" i="1" s="1"/>
  <c r="N761" i="1" a="1"/>
  <c r="N761" i="1" s="1"/>
  <c r="M761" i="1" s="1"/>
  <c r="N762" i="1" a="1"/>
  <c r="N762" i="1" s="1"/>
  <c r="M762" i="1" s="1"/>
  <c r="N763" i="1" a="1"/>
  <c r="N763" i="1" s="1"/>
  <c r="M763" i="1" s="1"/>
  <c r="N764" i="1" a="1"/>
  <c r="N764" i="1" s="1"/>
  <c r="M764" i="1" s="1"/>
  <c r="N765" i="1" a="1"/>
  <c r="N765" i="1" s="1"/>
  <c r="M765" i="1" s="1"/>
  <c r="N766" i="1" a="1"/>
  <c r="N766" i="1" s="1"/>
  <c r="M766" i="1" s="1"/>
  <c r="N767" i="1" a="1"/>
  <c r="N767" i="1" s="1"/>
  <c r="M767" i="1" s="1"/>
  <c r="N768" i="1" a="1"/>
  <c r="N768" i="1" s="1"/>
  <c r="M768" i="1" s="1"/>
  <c r="N769" i="1" a="1"/>
  <c r="N769" i="1" s="1"/>
  <c r="M769" i="1" s="1"/>
  <c r="N770" i="1" a="1"/>
  <c r="N770" i="1" s="1"/>
  <c r="M770" i="1" s="1"/>
  <c r="N771" i="1" a="1"/>
  <c r="N771" i="1" s="1"/>
  <c r="M771" i="1" s="1"/>
  <c r="N772" i="1" a="1"/>
  <c r="N772" i="1" s="1"/>
  <c r="M772" i="1" s="1"/>
  <c r="N773" i="1" a="1"/>
  <c r="N773" i="1" s="1"/>
  <c r="M773" i="1" s="1"/>
  <c r="N774" i="1" a="1"/>
  <c r="N774" i="1" s="1"/>
  <c r="M774" i="1" s="1"/>
  <c r="N775" i="1" a="1"/>
  <c r="N775" i="1" s="1"/>
  <c r="M775" i="1" s="1"/>
  <c r="N776" i="1" a="1"/>
  <c r="N776" i="1" s="1"/>
  <c r="M776" i="1" s="1"/>
  <c r="N777" i="1" a="1"/>
  <c r="N777" i="1" s="1"/>
  <c r="M777" i="1" s="1"/>
  <c r="N778" i="1" a="1"/>
  <c r="N778" i="1" s="1"/>
  <c r="M778" i="1" s="1"/>
  <c r="N779" i="1" a="1"/>
  <c r="N779" i="1" s="1"/>
  <c r="M779" i="1" s="1"/>
  <c r="N780" i="1" a="1"/>
  <c r="N780" i="1" s="1"/>
  <c r="M780" i="1" s="1"/>
  <c r="N781" i="1" a="1"/>
  <c r="N781" i="1" s="1"/>
  <c r="M781" i="1" s="1"/>
  <c r="N782" i="1" a="1"/>
  <c r="N782" i="1" s="1"/>
  <c r="M782" i="1" s="1"/>
  <c r="N783" i="1" a="1"/>
  <c r="N783" i="1" s="1"/>
  <c r="M783" i="1" s="1"/>
  <c r="N784" i="1" a="1"/>
  <c r="N784" i="1" s="1"/>
  <c r="M784" i="1" s="1"/>
  <c r="N785" i="1" a="1"/>
  <c r="N785" i="1" s="1"/>
  <c r="M785" i="1" s="1"/>
  <c r="N786" i="1" a="1"/>
  <c r="N786" i="1" s="1"/>
  <c r="M786" i="1" s="1"/>
  <c r="N787" i="1" a="1"/>
  <c r="N787" i="1" s="1"/>
  <c r="M787" i="1" s="1"/>
  <c r="N788" i="1" a="1"/>
  <c r="N788" i="1" s="1"/>
  <c r="M788" i="1" s="1"/>
  <c r="N789" i="1" a="1"/>
  <c r="N789" i="1" s="1"/>
  <c r="M789" i="1" s="1"/>
  <c r="N790" i="1" a="1"/>
  <c r="N790" i="1" s="1"/>
  <c r="M790" i="1" s="1"/>
  <c r="N791" i="1" a="1"/>
  <c r="N791" i="1" s="1"/>
  <c r="M791" i="1" s="1"/>
  <c r="N792" i="1" a="1"/>
  <c r="N792" i="1" s="1"/>
  <c r="M792" i="1" s="1"/>
  <c r="N793" i="1" a="1"/>
  <c r="N793" i="1" s="1"/>
  <c r="M793" i="1" s="1"/>
  <c r="N794" i="1" a="1"/>
  <c r="N794" i="1" s="1"/>
  <c r="M794" i="1" s="1"/>
  <c r="N795" i="1" a="1"/>
  <c r="N795" i="1" s="1"/>
  <c r="M795" i="1" s="1"/>
  <c r="N796" i="1" a="1"/>
  <c r="N796" i="1" s="1"/>
  <c r="M796" i="1" s="1"/>
  <c r="N797" i="1" a="1"/>
  <c r="N797" i="1" s="1"/>
  <c r="M797" i="1" s="1"/>
  <c r="N798" i="1" a="1"/>
  <c r="N798" i="1" s="1"/>
  <c r="M798" i="1" s="1"/>
  <c r="N799" i="1" a="1"/>
  <c r="N799" i="1" s="1"/>
  <c r="M799" i="1" s="1"/>
  <c r="N800" i="1" a="1"/>
  <c r="N800" i="1" s="1"/>
  <c r="M800" i="1" s="1"/>
  <c r="N801" i="1" a="1"/>
  <c r="N801" i="1" s="1"/>
  <c r="M801" i="1" s="1"/>
  <c r="N802" i="1" a="1"/>
  <c r="N802" i="1" s="1"/>
  <c r="M802" i="1" s="1"/>
  <c r="N803" i="1" a="1"/>
  <c r="N803" i="1" s="1"/>
  <c r="M803" i="1" s="1"/>
  <c r="N804" i="1" a="1"/>
  <c r="N804" i="1" s="1"/>
  <c r="M804" i="1" s="1"/>
  <c r="N805" i="1" a="1"/>
  <c r="N805" i="1" s="1"/>
  <c r="M805" i="1" s="1"/>
  <c r="N806" i="1" a="1"/>
  <c r="N806" i="1" s="1"/>
  <c r="M806" i="1" s="1"/>
  <c r="N807" i="1" a="1"/>
  <c r="N807" i="1" s="1"/>
  <c r="M807" i="1" s="1"/>
  <c r="N808" i="1" a="1"/>
  <c r="N808" i="1" s="1"/>
  <c r="M808" i="1" s="1"/>
  <c r="N809" i="1" a="1"/>
  <c r="N809" i="1" s="1"/>
  <c r="M809" i="1" s="1"/>
  <c r="N810" i="1" a="1"/>
  <c r="N810" i="1" s="1"/>
  <c r="M810" i="1" s="1"/>
  <c r="N811" i="1" a="1"/>
  <c r="N811" i="1" s="1"/>
  <c r="M811" i="1" s="1"/>
  <c r="N812" i="1" a="1"/>
  <c r="N812" i="1" s="1"/>
  <c r="M812" i="1" s="1"/>
  <c r="N813" i="1" a="1"/>
  <c r="N813" i="1" s="1"/>
  <c r="M813" i="1" s="1"/>
  <c r="N814" i="1" a="1"/>
  <c r="N814" i="1" s="1"/>
  <c r="M814" i="1" s="1"/>
  <c r="N815" i="1" a="1"/>
  <c r="N815" i="1" s="1"/>
  <c r="M815" i="1" s="1"/>
  <c r="N816" i="1" a="1"/>
  <c r="N816" i="1" s="1"/>
  <c r="M816" i="1" s="1"/>
  <c r="N817" i="1" a="1"/>
  <c r="N817" i="1" s="1"/>
  <c r="M817" i="1" s="1"/>
  <c r="N818" i="1" a="1"/>
  <c r="N818" i="1" s="1"/>
  <c r="M818" i="1" s="1"/>
  <c r="N819" i="1" a="1"/>
  <c r="N819" i="1" s="1"/>
  <c r="M819" i="1" s="1"/>
  <c r="N820" i="1" a="1"/>
  <c r="N820" i="1" s="1"/>
  <c r="M820" i="1" s="1"/>
  <c r="N821" i="1" a="1"/>
  <c r="N821" i="1" s="1"/>
  <c r="M821" i="1" s="1"/>
  <c r="N822" i="1" a="1"/>
  <c r="N822" i="1" s="1"/>
  <c r="M822" i="1" s="1"/>
  <c r="N823" i="1" a="1"/>
  <c r="N823" i="1" s="1"/>
  <c r="M823" i="1" s="1"/>
  <c r="N824" i="1" a="1"/>
  <c r="N824" i="1" s="1"/>
  <c r="M824" i="1" s="1"/>
  <c r="N825" i="1" a="1"/>
  <c r="N825" i="1" s="1"/>
  <c r="M825" i="1" s="1"/>
  <c r="N826" i="1" a="1"/>
  <c r="N826" i="1" s="1"/>
  <c r="M826" i="1" s="1"/>
  <c r="N827" i="1" a="1"/>
  <c r="N827" i="1" s="1"/>
  <c r="M827" i="1" s="1"/>
  <c r="N828" i="1" a="1"/>
  <c r="N828" i="1" s="1"/>
  <c r="M828" i="1" s="1"/>
  <c r="N829" i="1" a="1"/>
  <c r="N829" i="1" s="1"/>
  <c r="M829" i="1" s="1"/>
  <c r="N830" i="1" a="1"/>
  <c r="N830" i="1" s="1"/>
  <c r="M830" i="1" s="1"/>
  <c r="N831" i="1" a="1"/>
  <c r="N831" i="1" s="1"/>
  <c r="M831" i="1" s="1"/>
  <c r="N832" i="1" a="1"/>
  <c r="N832" i="1" s="1"/>
  <c r="M832" i="1" s="1"/>
  <c r="N833" i="1" a="1"/>
  <c r="N833" i="1" s="1"/>
  <c r="M833" i="1" s="1"/>
  <c r="N834" i="1" a="1"/>
  <c r="N834" i="1" s="1"/>
  <c r="M834" i="1" s="1"/>
  <c r="N835" i="1" a="1"/>
  <c r="N835" i="1" s="1"/>
  <c r="M835" i="1" s="1"/>
  <c r="N836" i="1" a="1"/>
  <c r="N836" i="1" s="1"/>
  <c r="M836" i="1" s="1"/>
  <c r="N837" i="1" a="1"/>
  <c r="N837" i="1" s="1"/>
  <c r="M837" i="1" s="1"/>
  <c r="N838" i="1" a="1"/>
  <c r="N838" i="1" s="1"/>
  <c r="M838" i="1" s="1"/>
  <c r="N839" i="1" a="1"/>
  <c r="N839" i="1" s="1"/>
  <c r="M839" i="1" s="1"/>
  <c r="N840" i="1" a="1"/>
  <c r="N840" i="1" s="1"/>
  <c r="M840" i="1" s="1"/>
  <c r="N841" i="1" a="1"/>
  <c r="N841" i="1" s="1"/>
  <c r="M841" i="1" s="1"/>
  <c r="N842" i="1" a="1"/>
  <c r="N842" i="1" s="1"/>
  <c r="M842" i="1" s="1"/>
  <c r="N843" i="1" a="1"/>
  <c r="N843" i="1" s="1"/>
  <c r="M843" i="1" s="1"/>
  <c r="N844" i="1" a="1"/>
  <c r="N844" i="1" s="1"/>
  <c r="M844" i="1" s="1"/>
  <c r="N845" i="1" a="1"/>
  <c r="N845" i="1" s="1"/>
  <c r="M845" i="1" s="1"/>
  <c r="N846" i="1" a="1"/>
  <c r="N846" i="1" s="1"/>
  <c r="M846" i="1" s="1"/>
  <c r="N847" i="1" a="1"/>
  <c r="N847" i="1" s="1"/>
  <c r="M847" i="1" s="1"/>
  <c r="N848" i="1" a="1"/>
  <c r="N848" i="1" s="1"/>
  <c r="M848" i="1" s="1"/>
  <c r="N849" i="1" a="1"/>
  <c r="N849" i="1" s="1"/>
  <c r="M849" i="1" s="1"/>
  <c r="N850" i="1" a="1"/>
  <c r="N850" i="1" s="1"/>
  <c r="M850" i="1" s="1"/>
  <c r="N851" i="1" a="1"/>
  <c r="N851" i="1" s="1"/>
  <c r="M851" i="1" s="1"/>
  <c r="N852" i="1" a="1"/>
  <c r="N852" i="1" s="1"/>
  <c r="M852" i="1" s="1"/>
  <c r="N853" i="1" a="1"/>
  <c r="N853" i="1" s="1"/>
  <c r="M853" i="1" s="1"/>
  <c r="N854" i="1" a="1"/>
  <c r="N854" i="1" s="1"/>
  <c r="M854" i="1" s="1"/>
  <c r="N855" i="1" a="1"/>
  <c r="N855" i="1" s="1"/>
  <c r="M855" i="1" s="1"/>
  <c r="N856" i="1" a="1"/>
  <c r="N856" i="1" s="1"/>
  <c r="M856" i="1" s="1"/>
  <c r="N857" i="1" a="1"/>
  <c r="N857" i="1" s="1"/>
  <c r="M857" i="1" s="1"/>
  <c r="N858" i="1" a="1"/>
  <c r="N858" i="1" s="1"/>
  <c r="M858" i="1" s="1"/>
  <c r="N859" i="1" a="1"/>
  <c r="N859" i="1" s="1"/>
  <c r="M859" i="1" s="1"/>
  <c r="N860" i="1" a="1"/>
  <c r="N860" i="1" s="1"/>
  <c r="M860" i="1" s="1"/>
  <c r="N861" i="1" a="1"/>
  <c r="N861" i="1" s="1"/>
  <c r="M861" i="1" s="1"/>
  <c r="N862" i="1" a="1"/>
  <c r="N862" i="1" s="1"/>
  <c r="M862" i="1" s="1"/>
  <c r="N863" i="1" a="1"/>
  <c r="N863" i="1" s="1"/>
  <c r="M863" i="1" s="1"/>
  <c r="N864" i="1" a="1"/>
  <c r="N864" i="1" s="1"/>
  <c r="M864" i="1" s="1"/>
  <c r="N865" i="1" a="1"/>
  <c r="N865" i="1" s="1"/>
  <c r="M865" i="1" s="1"/>
  <c r="N866" i="1" a="1"/>
  <c r="N866" i="1" s="1"/>
  <c r="M866" i="1" s="1"/>
  <c r="N867" i="1" a="1"/>
  <c r="N867" i="1" s="1"/>
  <c r="M867" i="1" s="1"/>
  <c r="N868" i="1" a="1"/>
  <c r="N868" i="1" s="1"/>
  <c r="M868" i="1" s="1"/>
  <c r="N869" i="1" a="1"/>
  <c r="N869" i="1" s="1"/>
  <c r="M869" i="1" s="1"/>
  <c r="N870" i="1" a="1"/>
  <c r="N870" i="1" s="1"/>
  <c r="M870" i="1" s="1"/>
  <c r="N871" i="1" a="1"/>
  <c r="N871" i="1" s="1"/>
  <c r="M871" i="1" s="1"/>
  <c r="N872" i="1" a="1"/>
  <c r="N872" i="1" s="1"/>
  <c r="M872" i="1" s="1"/>
  <c r="N873" i="1" a="1"/>
  <c r="N873" i="1" s="1"/>
  <c r="M873" i="1" s="1"/>
  <c r="N874" i="1" a="1"/>
  <c r="N874" i="1" s="1"/>
  <c r="M874" i="1" s="1"/>
  <c r="N875" i="1" a="1"/>
  <c r="N875" i="1" s="1"/>
  <c r="M875" i="1" s="1"/>
  <c r="N876" i="1" a="1"/>
  <c r="N876" i="1" s="1"/>
  <c r="M876" i="1" s="1"/>
  <c r="N877" i="1" a="1"/>
  <c r="N877" i="1" s="1"/>
  <c r="M877" i="1" s="1"/>
  <c r="N878" i="1" a="1"/>
  <c r="N878" i="1" s="1"/>
  <c r="M878" i="1" s="1"/>
  <c r="N879" i="1" a="1"/>
  <c r="N879" i="1" s="1"/>
  <c r="M879" i="1" s="1"/>
  <c r="N880" i="1" a="1"/>
  <c r="N880" i="1" s="1"/>
  <c r="M880" i="1" s="1"/>
  <c r="N881" i="1" a="1"/>
  <c r="N881" i="1" s="1"/>
  <c r="M881" i="1" s="1"/>
  <c r="N882" i="1" a="1"/>
  <c r="N882" i="1" s="1"/>
  <c r="M882" i="1" s="1"/>
  <c r="N883" i="1" a="1"/>
  <c r="N883" i="1" s="1"/>
  <c r="M883" i="1" s="1"/>
  <c r="N884" i="1" a="1"/>
  <c r="N884" i="1" s="1"/>
  <c r="M884" i="1" s="1"/>
  <c r="N885" i="1" a="1"/>
  <c r="N885" i="1" s="1"/>
  <c r="M885" i="1" s="1"/>
  <c r="N886" i="1" a="1"/>
  <c r="N886" i="1" s="1"/>
  <c r="M886" i="1" s="1"/>
  <c r="N887" i="1" a="1"/>
  <c r="N887" i="1" s="1"/>
  <c r="M887" i="1" s="1"/>
  <c r="N888" i="1" a="1"/>
  <c r="N888" i="1" s="1"/>
  <c r="M888" i="1" s="1"/>
  <c r="N889" i="1" a="1"/>
  <c r="N889" i="1" s="1"/>
  <c r="M889" i="1" s="1"/>
  <c r="N890" i="1" a="1"/>
  <c r="N890" i="1" s="1"/>
  <c r="M890" i="1" s="1"/>
  <c r="N891" i="1" a="1"/>
  <c r="N891" i="1" s="1"/>
  <c r="M891" i="1" s="1"/>
  <c r="N892" i="1" a="1"/>
  <c r="N892" i="1" s="1"/>
  <c r="M892" i="1" s="1"/>
  <c r="N893" i="1" a="1"/>
  <c r="N893" i="1" s="1"/>
  <c r="M893" i="1" s="1"/>
  <c r="N894" i="1" a="1"/>
  <c r="N894" i="1" s="1"/>
  <c r="M894" i="1" s="1"/>
  <c r="N895" i="1" a="1"/>
  <c r="N895" i="1" s="1"/>
  <c r="M895" i="1" s="1"/>
  <c r="N896" i="1" a="1"/>
  <c r="N896" i="1" s="1"/>
  <c r="M896" i="1" s="1"/>
  <c r="N897" i="1" a="1"/>
  <c r="N897" i="1" s="1"/>
  <c r="M897" i="1" s="1"/>
  <c r="N898" i="1" a="1"/>
  <c r="N898" i="1" s="1"/>
  <c r="M898" i="1" s="1"/>
  <c r="N899" i="1" a="1"/>
  <c r="N899" i="1" s="1"/>
  <c r="M899" i="1" s="1"/>
  <c r="N900" i="1" a="1"/>
  <c r="N900" i="1" s="1"/>
  <c r="M900" i="1" s="1"/>
  <c r="N901" i="1" a="1"/>
  <c r="N901" i="1" s="1"/>
  <c r="M901" i="1" s="1"/>
  <c r="N902" i="1" a="1"/>
  <c r="N902" i="1" s="1"/>
  <c r="M902" i="1" s="1"/>
  <c r="N903" i="1" a="1"/>
  <c r="N903" i="1" s="1"/>
  <c r="M903" i="1" s="1"/>
  <c r="N904" i="1" a="1"/>
  <c r="N904" i="1" s="1"/>
  <c r="M904" i="1" s="1"/>
  <c r="N905" i="1" a="1"/>
  <c r="N905" i="1" s="1"/>
  <c r="M905" i="1" s="1"/>
  <c r="N906" i="1" a="1"/>
  <c r="N906" i="1" s="1"/>
  <c r="M906" i="1" s="1"/>
  <c r="N907" i="1" a="1"/>
  <c r="N907" i="1" s="1"/>
  <c r="M907" i="1" s="1"/>
  <c r="N908" i="1" a="1"/>
  <c r="N908" i="1" s="1"/>
  <c r="M908" i="1" s="1"/>
  <c r="N909" i="1" a="1"/>
  <c r="N909" i="1" s="1"/>
  <c r="M909" i="1" s="1"/>
  <c r="N910" i="1" a="1"/>
  <c r="N910" i="1" s="1"/>
  <c r="M910" i="1" s="1"/>
  <c r="N911" i="1" a="1"/>
  <c r="N911" i="1" s="1"/>
  <c r="M911" i="1" s="1"/>
  <c r="N912" i="1" a="1"/>
  <c r="N912" i="1" s="1"/>
  <c r="M912" i="1" s="1"/>
  <c r="N913" i="1" a="1"/>
  <c r="N913" i="1" s="1"/>
  <c r="M913" i="1" s="1"/>
  <c r="N914" i="1" a="1"/>
  <c r="N914" i="1" s="1"/>
  <c r="M914" i="1" s="1"/>
  <c r="N915" i="1" a="1"/>
  <c r="N915" i="1" s="1"/>
  <c r="M915" i="1" s="1"/>
  <c r="N916" i="1" a="1"/>
  <c r="N916" i="1" s="1"/>
  <c r="M916" i="1" s="1"/>
  <c r="N917" i="1" a="1"/>
  <c r="N917" i="1" s="1"/>
  <c r="M917" i="1" s="1"/>
  <c r="N918" i="1" a="1"/>
  <c r="N918" i="1" s="1"/>
  <c r="M918" i="1" s="1"/>
  <c r="N919" i="1" a="1"/>
  <c r="N919" i="1" s="1"/>
  <c r="M919" i="1" s="1"/>
  <c r="N920" i="1" a="1"/>
  <c r="N920" i="1" s="1"/>
  <c r="M920" i="1" s="1"/>
  <c r="N921" i="1" a="1"/>
  <c r="N921" i="1" s="1"/>
  <c r="M921" i="1" s="1"/>
  <c r="N922" i="1" a="1"/>
  <c r="N922" i="1" s="1"/>
  <c r="M922" i="1" s="1"/>
  <c r="N923" i="1" a="1"/>
  <c r="N923" i="1" s="1"/>
  <c r="M923" i="1" s="1"/>
  <c r="N924" i="1" a="1"/>
  <c r="N924" i="1" s="1"/>
  <c r="M924" i="1" s="1"/>
  <c r="N925" i="1" a="1"/>
  <c r="N925" i="1" s="1"/>
  <c r="M925" i="1" s="1"/>
  <c r="N926" i="1" a="1"/>
  <c r="N926" i="1" s="1"/>
  <c r="M926" i="1" s="1"/>
  <c r="N927" i="1" a="1"/>
  <c r="N927" i="1" s="1"/>
  <c r="M927" i="1" s="1"/>
  <c r="N928" i="1" a="1"/>
  <c r="N928" i="1" s="1"/>
  <c r="M928" i="1" s="1"/>
  <c r="N929" i="1" a="1"/>
  <c r="N929" i="1" s="1"/>
  <c r="M929" i="1" s="1"/>
  <c r="N930" i="1" a="1"/>
  <c r="N930" i="1" s="1"/>
  <c r="M930" i="1" s="1"/>
  <c r="N931" i="1" a="1"/>
  <c r="N931" i="1" s="1"/>
  <c r="M931" i="1" s="1"/>
  <c r="N932" i="1" a="1"/>
  <c r="N932" i="1" s="1"/>
  <c r="M932" i="1" s="1"/>
  <c r="N933" i="1" a="1"/>
  <c r="N933" i="1" s="1"/>
  <c r="M933" i="1" s="1"/>
  <c r="N934" i="1" a="1"/>
  <c r="N934" i="1" s="1"/>
  <c r="M934" i="1" s="1"/>
  <c r="N935" i="1" a="1"/>
  <c r="N935" i="1" s="1"/>
  <c r="M935" i="1" s="1"/>
  <c r="N936" i="1" a="1"/>
  <c r="N936" i="1" s="1"/>
  <c r="M936" i="1" s="1"/>
  <c r="N937" i="1" a="1"/>
  <c r="N937" i="1" s="1"/>
  <c r="M937" i="1" s="1"/>
  <c r="N938" i="1" a="1"/>
  <c r="N938" i="1" s="1"/>
  <c r="M938" i="1" s="1"/>
  <c r="N939" i="1" a="1"/>
  <c r="N939" i="1" s="1"/>
  <c r="M939" i="1" s="1"/>
  <c r="N940" i="1" a="1"/>
  <c r="N940" i="1" s="1"/>
  <c r="M940" i="1" s="1"/>
  <c r="N941" i="1" a="1"/>
  <c r="N941" i="1" s="1"/>
  <c r="M941" i="1" s="1"/>
  <c r="N942" i="1" a="1"/>
  <c r="N942" i="1" s="1"/>
  <c r="M942" i="1" s="1"/>
  <c r="N943" i="1" a="1"/>
  <c r="N943" i="1" s="1"/>
  <c r="M943" i="1" s="1"/>
  <c r="N944" i="1" a="1"/>
  <c r="N944" i="1" s="1"/>
  <c r="M944" i="1" s="1"/>
  <c r="N945" i="1" a="1"/>
  <c r="N945" i="1" s="1"/>
  <c r="M945" i="1" s="1"/>
  <c r="N946" i="1" a="1"/>
  <c r="N946" i="1" s="1"/>
  <c r="M946" i="1" s="1"/>
  <c r="N947" i="1" a="1"/>
  <c r="N947" i="1" s="1"/>
  <c r="M947" i="1" s="1"/>
  <c r="N948" i="1" a="1"/>
  <c r="N948" i="1" s="1"/>
  <c r="M948" i="1" s="1"/>
  <c r="N949" i="1" a="1"/>
  <c r="N949" i="1" s="1"/>
  <c r="M949" i="1" s="1"/>
  <c r="N950" i="1" a="1"/>
  <c r="N950" i="1" s="1"/>
  <c r="M950" i="1" s="1"/>
  <c r="N951" i="1" a="1"/>
  <c r="N951" i="1" s="1"/>
  <c r="M951" i="1" s="1"/>
  <c r="N952" i="1" a="1"/>
  <c r="N952" i="1" s="1"/>
  <c r="M952" i="1" s="1"/>
  <c r="N953" i="1" a="1"/>
  <c r="N953" i="1" s="1"/>
  <c r="M953" i="1" s="1"/>
  <c r="N954" i="1" a="1"/>
  <c r="N954" i="1" s="1"/>
  <c r="M954" i="1" s="1"/>
  <c r="N955" i="1" a="1"/>
  <c r="N955" i="1" s="1"/>
  <c r="M955" i="1" s="1"/>
  <c r="N956" i="1" a="1"/>
  <c r="N956" i="1" s="1"/>
  <c r="M956" i="1" s="1"/>
  <c r="N957" i="1" a="1"/>
  <c r="N957" i="1" s="1"/>
  <c r="M957" i="1" s="1"/>
  <c r="N958" i="1" a="1"/>
  <c r="N958" i="1" s="1"/>
  <c r="M958" i="1" s="1"/>
  <c r="N959" i="1" a="1"/>
  <c r="N959" i="1" s="1"/>
  <c r="M959" i="1" s="1"/>
  <c r="N960" i="1" a="1"/>
  <c r="N960" i="1" s="1"/>
  <c r="M960" i="1" s="1"/>
  <c r="N961" i="1" a="1"/>
  <c r="N961" i="1" s="1"/>
  <c r="M961" i="1" s="1"/>
  <c r="N962" i="1" a="1"/>
  <c r="N962" i="1" s="1"/>
  <c r="M962" i="1" s="1"/>
  <c r="N963" i="1" a="1"/>
  <c r="N963" i="1" s="1"/>
  <c r="M963" i="1" s="1"/>
  <c r="N964" i="1" a="1"/>
  <c r="N964" i="1" s="1"/>
  <c r="M964" i="1" s="1"/>
  <c r="N965" i="1" a="1"/>
  <c r="N965" i="1" s="1"/>
  <c r="M965" i="1" s="1"/>
  <c r="N966" i="1" a="1"/>
  <c r="N966" i="1" s="1"/>
  <c r="M966" i="1" s="1"/>
  <c r="N967" i="1" a="1"/>
  <c r="N967" i="1" s="1"/>
  <c r="M967" i="1" s="1"/>
  <c r="N968" i="1" a="1"/>
  <c r="N968" i="1" s="1"/>
  <c r="M968" i="1" s="1"/>
  <c r="N969" i="1" a="1"/>
  <c r="N969" i="1" s="1"/>
  <c r="M969" i="1" s="1"/>
  <c r="N970" i="1" a="1"/>
  <c r="N970" i="1" s="1"/>
  <c r="M970" i="1" s="1"/>
  <c r="N971" i="1" a="1"/>
  <c r="N971" i="1" s="1"/>
  <c r="M971" i="1" s="1"/>
  <c r="N972" i="1" a="1"/>
  <c r="N972" i="1" s="1"/>
  <c r="M972" i="1" s="1"/>
  <c r="N973" i="1" a="1"/>
  <c r="N973" i="1" s="1"/>
  <c r="M973" i="1" s="1"/>
  <c r="N974" i="1" a="1"/>
  <c r="N974" i="1" s="1"/>
  <c r="M974" i="1" s="1"/>
  <c r="N975" i="1" a="1"/>
  <c r="N975" i="1" s="1"/>
  <c r="M975" i="1" s="1"/>
  <c r="N976" i="1" a="1"/>
  <c r="N976" i="1" s="1"/>
  <c r="M976" i="1" s="1"/>
  <c r="N977" i="1" a="1"/>
  <c r="N977" i="1" s="1"/>
  <c r="M977" i="1" s="1"/>
  <c r="N978" i="1" a="1"/>
  <c r="N978" i="1" s="1"/>
  <c r="M978" i="1" s="1"/>
  <c r="N979" i="1" a="1"/>
  <c r="N979" i="1" s="1"/>
  <c r="M979" i="1" s="1"/>
  <c r="N980" i="1" a="1"/>
  <c r="N980" i="1" s="1"/>
  <c r="M980" i="1" s="1"/>
  <c r="N981" i="1" a="1"/>
  <c r="N981" i="1" s="1"/>
  <c r="M981" i="1" s="1"/>
  <c r="N982" i="1" a="1"/>
  <c r="N982" i="1" s="1"/>
  <c r="M982" i="1" s="1"/>
  <c r="N983" i="1" a="1"/>
  <c r="N983" i="1" s="1"/>
  <c r="M983" i="1" s="1"/>
  <c r="N984" i="1" a="1"/>
  <c r="N984" i="1" s="1"/>
  <c r="M984" i="1" s="1"/>
  <c r="N985" i="1" a="1"/>
  <c r="N985" i="1" s="1"/>
  <c r="M985" i="1" s="1"/>
  <c r="N986" i="1" a="1"/>
  <c r="N986" i="1" s="1"/>
  <c r="M986" i="1" s="1"/>
  <c r="N987" i="1" a="1"/>
  <c r="N987" i="1" s="1"/>
  <c r="M987" i="1" s="1"/>
  <c r="N988" i="1" a="1"/>
  <c r="N988" i="1" s="1"/>
  <c r="M988" i="1" s="1"/>
  <c r="N989" i="1" a="1"/>
  <c r="N989" i="1" s="1"/>
  <c r="M989" i="1" s="1"/>
  <c r="N990" i="1" a="1"/>
  <c r="N990" i="1" s="1"/>
  <c r="M990" i="1" s="1"/>
  <c r="N991" i="1" a="1"/>
  <c r="N991" i="1" s="1"/>
  <c r="M991" i="1" s="1"/>
  <c r="N992" i="1" a="1"/>
  <c r="N992" i="1" s="1"/>
  <c r="M992" i="1" s="1"/>
  <c r="N993" i="1" a="1"/>
  <c r="N993" i="1" s="1"/>
  <c r="M993" i="1" s="1"/>
  <c r="N994" i="1" a="1"/>
  <c r="N994" i="1" s="1"/>
  <c r="M994" i="1" s="1"/>
  <c r="N995" i="1" a="1"/>
  <c r="N995" i="1" s="1"/>
  <c r="M995" i="1" s="1"/>
  <c r="N996" i="1" a="1"/>
  <c r="N996" i="1" s="1"/>
  <c r="M996" i="1" s="1"/>
  <c r="N997" i="1" a="1"/>
  <c r="N997" i="1" s="1"/>
  <c r="M997" i="1" s="1"/>
  <c r="N998" i="1" a="1"/>
  <c r="N998" i="1" s="1"/>
  <c r="M998" i="1" s="1"/>
  <c r="N999" i="1" a="1"/>
  <c r="N999" i="1" s="1"/>
  <c r="M999" i="1" s="1"/>
  <c r="N1000" i="1" a="1"/>
  <c r="N1000" i="1" s="1"/>
  <c r="M1000" i="1" s="1"/>
  <c r="N1001" i="1" a="1"/>
  <c r="N1001" i="1" s="1"/>
  <c r="M1001" i="1" s="1"/>
  <c r="N1002" i="1" a="1"/>
  <c r="N1002" i="1" s="1"/>
  <c r="M1002" i="1" s="1"/>
  <c r="N3" i="1" a="1"/>
  <c r="N3" i="1" s="1"/>
  <c r="M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3" i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E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E32" i="1" s="1"/>
  <c r="D33" i="1" a="1"/>
  <c r="D33" i="1" s="1"/>
  <c r="D34" i="1" a="1"/>
  <c r="D34" i="1" s="1"/>
  <c r="E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E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E58" i="1" s="1"/>
  <c r="D59" i="1" a="1"/>
  <c r="D59" i="1" s="1"/>
  <c r="E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E71" i="1" s="1"/>
  <c r="D72" i="1" a="1"/>
  <c r="D72" i="1" s="1"/>
  <c r="E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E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E96" i="1" s="1"/>
  <c r="D97" i="1" a="1"/>
  <c r="D97" i="1" s="1"/>
  <c r="D98" i="1" a="1"/>
  <c r="D98" i="1" s="1"/>
  <c r="E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E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E122" i="1" s="1"/>
  <c r="D123" i="1" a="1"/>
  <c r="D123" i="1" s="1"/>
  <c r="E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E135" i="1" s="1"/>
  <c r="D136" i="1" a="1"/>
  <c r="D136" i="1" s="1"/>
  <c r="E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E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E160" i="1" s="1"/>
  <c r="D161" i="1" a="1"/>
  <c r="D161" i="1" s="1"/>
  <c r="D162" i="1" a="1"/>
  <c r="D162" i="1" s="1"/>
  <c r="E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E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E186" i="1" s="1"/>
  <c r="D187" i="1" a="1"/>
  <c r="D187" i="1" s="1"/>
  <c r="E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E199" i="1" s="1"/>
  <c r="D200" i="1" a="1"/>
  <c r="D200" i="1" s="1"/>
  <c r="E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E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E224" i="1" s="1"/>
  <c r="D225" i="1" a="1"/>
  <c r="D225" i="1" s="1"/>
  <c r="D226" i="1" a="1"/>
  <c r="D226" i="1" s="1"/>
  <c r="E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E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E250" i="1" s="1"/>
  <c r="D251" i="1" a="1"/>
  <c r="D251" i="1" s="1"/>
  <c r="E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E263" i="1" s="1"/>
  <c r="D264" i="1" a="1"/>
  <c r="D264" i="1" s="1"/>
  <c r="E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E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E288" i="1" s="1"/>
  <c r="D289" i="1" a="1"/>
  <c r="D289" i="1" s="1"/>
  <c r="D290" i="1" a="1"/>
  <c r="D290" i="1" s="1"/>
  <c r="E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E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E313" i="1" s="1"/>
  <c r="D314" i="1" a="1"/>
  <c r="D314" i="1" s="1"/>
  <c r="E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E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E335" i="1" s="1"/>
  <c r="D336" i="1" a="1"/>
  <c r="D336" i="1" s="1"/>
  <c r="E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E345" i="1" s="1"/>
  <c r="D346" i="1" a="1"/>
  <c r="D346" i="1" s="1"/>
  <c r="E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E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E367" i="1" s="1"/>
  <c r="D368" i="1" a="1"/>
  <c r="D368" i="1" s="1"/>
  <c r="E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E377" i="1" s="1"/>
  <c r="D378" i="1" a="1"/>
  <c r="D378" i="1" s="1"/>
  <c r="E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E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E399" i="1" s="1"/>
  <c r="D400" i="1" a="1"/>
  <c r="D400" i="1" s="1"/>
  <c r="E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E409" i="1" s="1"/>
  <c r="D410" i="1" a="1"/>
  <c r="D410" i="1" s="1"/>
  <c r="E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E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E431" i="1" s="1"/>
  <c r="D432" i="1" a="1"/>
  <c r="D432" i="1" s="1"/>
  <c r="E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E441" i="1" s="1"/>
  <c r="D442" i="1" a="1"/>
  <c r="D442" i="1" s="1"/>
  <c r="E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E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E463" i="1" s="1"/>
  <c r="D464" i="1" a="1"/>
  <c r="D464" i="1" s="1"/>
  <c r="E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E473" i="1" s="1"/>
  <c r="D474" i="1" a="1"/>
  <c r="D474" i="1" s="1"/>
  <c r="E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E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E495" i="1" s="1"/>
  <c r="D496" i="1" a="1"/>
  <c r="D496" i="1" s="1"/>
  <c r="E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E505" i="1" s="1"/>
  <c r="D506" i="1" a="1"/>
  <c r="D506" i="1" s="1"/>
  <c r="E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E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E527" i="1" s="1"/>
  <c r="D528" i="1" a="1"/>
  <c r="D528" i="1" s="1"/>
  <c r="E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E537" i="1" s="1"/>
  <c r="D538" i="1" a="1"/>
  <c r="D538" i="1" s="1"/>
  <c r="E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E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E559" i="1" s="1"/>
  <c r="D560" i="1" a="1"/>
  <c r="D560" i="1" s="1"/>
  <c r="E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E569" i="1" s="1"/>
  <c r="D570" i="1" a="1"/>
  <c r="D570" i="1" s="1"/>
  <c r="E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E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E591" i="1" s="1"/>
  <c r="D592" i="1" a="1"/>
  <c r="D592" i="1" s="1"/>
  <c r="E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E600" i="1" s="1"/>
  <c r="D601" i="1" a="1"/>
  <c r="D601" i="1" s="1"/>
  <c r="E601" i="1" s="1"/>
  <c r="D602" i="1" a="1"/>
  <c r="D602" i="1" s="1"/>
  <c r="E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E610" i="1" s="1"/>
  <c r="D611" i="1" a="1"/>
  <c r="D611" i="1" s="1"/>
  <c r="E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E623" i="1" s="1"/>
  <c r="D624" i="1" a="1"/>
  <c r="D624" i="1" s="1"/>
  <c r="E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E632" i="1" s="1"/>
  <c r="D633" i="1" a="1"/>
  <c r="D633" i="1" s="1"/>
  <c r="E633" i="1" s="1"/>
  <c r="D634" i="1" a="1"/>
  <c r="D634" i="1" s="1"/>
  <c r="E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E642" i="1" s="1"/>
  <c r="D643" i="1" a="1"/>
  <c r="D643" i="1" s="1"/>
  <c r="E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E649" i="1" s="1"/>
  <c r="D650" i="1" a="1"/>
  <c r="D650" i="1" s="1"/>
  <c r="D651" i="1" a="1"/>
  <c r="D651" i="1" s="1"/>
  <c r="E651" i="1" s="1"/>
  <c r="D652" i="1" a="1"/>
  <c r="D652" i="1" s="1"/>
  <c r="D653" i="1" a="1"/>
  <c r="D653" i="1" s="1"/>
  <c r="D654" i="1" a="1"/>
  <c r="D654" i="1" s="1"/>
  <c r="D655" i="1" a="1"/>
  <c r="D655" i="1" s="1"/>
  <c r="E655" i="1" s="1"/>
  <c r="D656" i="1" a="1"/>
  <c r="D656" i="1" s="1"/>
  <c r="E656" i="1" s="1"/>
  <c r="D657" i="1" a="1"/>
  <c r="D657" i="1" s="1"/>
  <c r="D658" i="1" a="1"/>
  <c r="D658" i="1" s="1"/>
  <c r="D659" i="1" a="1"/>
  <c r="D659" i="1" s="1"/>
  <c r="E659" i="1" s="1"/>
  <c r="D660" i="1" a="1"/>
  <c r="D660" i="1" s="1"/>
  <c r="D661" i="1" a="1"/>
  <c r="D661" i="1" s="1"/>
  <c r="D662" i="1" a="1"/>
  <c r="D662" i="1" s="1"/>
  <c r="D663" i="1" a="1"/>
  <c r="D663" i="1" s="1"/>
  <c r="E663" i="1" s="1"/>
  <c r="D664" i="1" a="1"/>
  <c r="D664" i="1" s="1"/>
  <c r="E664" i="1" s="1"/>
  <c r="D665" i="1" a="1"/>
  <c r="D665" i="1" s="1"/>
  <c r="E665" i="1" s="1"/>
  <c r="D666" i="1" a="1"/>
  <c r="D666" i="1" s="1"/>
  <c r="E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E671" i="1" s="1"/>
  <c r="D672" i="1" a="1"/>
  <c r="D672" i="1" s="1"/>
  <c r="E672" i="1" s="1"/>
  <c r="D673" i="1" a="1"/>
  <c r="D673" i="1" s="1"/>
  <c r="E673" i="1" s="1"/>
  <c r="D674" i="1" a="1"/>
  <c r="D674" i="1" s="1"/>
  <c r="E674" i="1" s="1"/>
  <c r="D675" i="1" a="1"/>
  <c r="D675" i="1" s="1"/>
  <c r="E675" i="1" s="1"/>
  <c r="D676" i="1" a="1"/>
  <c r="D676" i="1" s="1"/>
  <c r="D677" i="1" a="1"/>
  <c r="D677" i="1" s="1"/>
  <c r="D678" i="1" a="1"/>
  <c r="D678" i="1" s="1"/>
  <c r="D679" i="1" a="1"/>
  <c r="D679" i="1" s="1"/>
  <c r="E679" i="1" s="1"/>
  <c r="D680" i="1" a="1"/>
  <c r="D680" i="1" s="1"/>
  <c r="E680" i="1" s="1"/>
  <c r="D681" i="1" a="1"/>
  <c r="D681" i="1" s="1"/>
  <c r="E681" i="1" s="1"/>
  <c r="D682" i="1" a="1"/>
  <c r="D682" i="1" s="1"/>
  <c r="E682" i="1" s="1"/>
  <c r="D683" i="1" a="1"/>
  <c r="D683" i="1" s="1"/>
  <c r="E683" i="1" s="1"/>
  <c r="D684" i="1" a="1"/>
  <c r="D684" i="1" s="1"/>
  <c r="D685" i="1" a="1"/>
  <c r="D685" i="1" s="1"/>
  <c r="D686" i="1" a="1"/>
  <c r="D686" i="1" s="1"/>
  <c r="D687" i="1" a="1"/>
  <c r="D687" i="1" s="1"/>
  <c r="E687" i="1" s="1"/>
  <c r="D688" i="1" a="1"/>
  <c r="D688" i="1" s="1"/>
  <c r="E688" i="1" s="1"/>
  <c r="D689" i="1" a="1"/>
  <c r="D689" i="1" s="1"/>
  <c r="E689" i="1" s="1"/>
  <c r="D690" i="1" a="1"/>
  <c r="D690" i="1" s="1"/>
  <c r="E690" i="1" s="1"/>
  <c r="D691" i="1" a="1"/>
  <c r="D691" i="1" s="1"/>
  <c r="E691" i="1" s="1"/>
  <c r="D692" i="1" a="1"/>
  <c r="D692" i="1" s="1"/>
  <c r="D693" i="1" a="1"/>
  <c r="D693" i="1" s="1"/>
  <c r="D694" i="1" a="1"/>
  <c r="D694" i="1" s="1"/>
  <c r="D695" i="1" a="1"/>
  <c r="D695" i="1" s="1"/>
  <c r="E695" i="1" s="1"/>
  <c r="D696" i="1" a="1"/>
  <c r="D696" i="1" s="1"/>
  <c r="E696" i="1" s="1"/>
  <c r="D697" i="1" a="1"/>
  <c r="D697" i="1" s="1"/>
  <c r="E697" i="1" s="1"/>
  <c r="D698" i="1" a="1"/>
  <c r="D698" i="1" s="1"/>
  <c r="E698" i="1" s="1"/>
  <c r="D699" i="1" a="1"/>
  <c r="D699" i="1" s="1"/>
  <c r="E699" i="1" s="1"/>
  <c r="D700" i="1" a="1"/>
  <c r="D700" i="1" s="1"/>
  <c r="D701" i="1" a="1"/>
  <c r="D701" i="1" s="1"/>
  <c r="D702" i="1" a="1"/>
  <c r="D702" i="1" s="1"/>
  <c r="D703" i="1" a="1"/>
  <c r="D703" i="1" s="1"/>
  <c r="E703" i="1" s="1"/>
  <c r="D704" i="1" a="1"/>
  <c r="D704" i="1" s="1"/>
  <c r="E704" i="1" s="1"/>
  <c r="D705" i="1" a="1"/>
  <c r="D705" i="1" s="1"/>
  <c r="E705" i="1" s="1"/>
  <c r="D706" i="1" a="1"/>
  <c r="D706" i="1" s="1"/>
  <c r="E706" i="1" s="1"/>
  <c r="D707" i="1" a="1"/>
  <c r="D707" i="1" s="1"/>
  <c r="E707" i="1" s="1"/>
  <c r="D708" i="1" a="1"/>
  <c r="D708" i="1" s="1"/>
  <c r="D709" i="1" a="1"/>
  <c r="D709" i="1" s="1"/>
  <c r="D710" i="1" a="1"/>
  <c r="D710" i="1" s="1"/>
  <c r="D711" i="1" a="1"/>
  <c r="D711" i="1" s="1"/>
  <c r="E711" i="1" s="1"/>
  <c r="D712" i="1" a="1"/>
  <c r="D712" i="1" s="1"/>
  <c r="E712" i="1" s="1"/>
  <c r="D713" i="1" a="1"/>
  <c r="D713" i="1" s="1"/>
  <c r="E713" i="1" s="1"/>
  <c r="D714" i="1" a="1"/>
  <c r="D714" i="1" s="1"/>
  <c r="E714" i="1" s="1"/>
  <c r="D715" i="1" a="1"/>
  <c r="D715" i="1" s="1"/>
  <c r="E715" i="1" s="1"/>
  <c r="D716" i="1" a="1"/>
  <c r="D716" i="1" s="1"/>
  <c r="D717" i="1" a="1"/>
  <c r="D717" i="1" s="1"/>
  <c r="D718" i="1" a="1"/>
  <c r="D718" i="1" s="1"/>
  <c r="D719" i="1" a="1"/>
  <c r="D719" i="1" s="1"/>
  <c r="E719" i="1" s="1"/>
  <c r="D720" i="1" a="1"/>
  <c r="D720" i="1" s="1"/>
  <c r="E720" i="1" s="1"/>
  <c r="D721" i="1" a="1"/>
  <c r="D721" i="1" s="1"/>
  <c r="E721" i="1" s="1"/>
  <c r="D722" i="1" a="1"/>
  <c r="D722" i="1" s="1"/>
  <c r="E722" i="1" s="1"/>
  <c r="D723" i="1" a="1"/>
  <c r="D723" i="1" s="1"/>
  <c r="E723" i="1" s="1"/>
  <c r="D724" i="1" a="1"/>
  <c r="D724" i="1" s="1"/>
  <c r="D725" i="1" a="1"/>
  <c r="D725" i="1" s="1"/>
  <c r="D726" i="1" a="1"/>
  <c r="D726" i="1" s="1"/>
  <c r="D727" i="1" a="1"/>
  <c r="D727" i="1" s="1"/>
  <c r="E727" i="1" s="1"/>
  <c r="D728" i="1" a="1"/>
  <c r="D728" i="1" s="1"/>
  <c r="E728" i="1" s="1"/>
  <c r="D729" i="1" a="1"/>
  <c r="D729" i="1" s="1"/>
  <c r="E729" i="1" s="1"/>
  <c r="D730" i="1" a="1"/>
  <c r="D730" i="1" s="1"/>
  <c r="E730" i="1" s="1"/>
  <c r="D731" i="1" a="1"/>
  <c r="D731" i="1" s="1"/>
  <c r="E731" i="1" s="1"/>
  <c r="D732" i="1" a="1"/>
  <c r="D732" i="1" s="1"/>
  <c r="D733" i="1" a="1"/>
  <c r="D733" i="1" s="1"/>
  <c r="D734" i="1" a="1"/>
  <c r="D734" i="1" s="1"/>
  <c r="D735" i="1" a="1"/>
  <c r="D735" i="1" s="1"/>
  <c r="E735" i="1" s="1"/>
  <c r="D736" i="1" a="1"/>
  <c r="D736" i="1" s="1"/>
  <c r="E736" i="1" s="1"/>
  <c r="D737" i="1" a="1"/>
  <c r="D737" i="1" s="1"/>
  <c r="E737" i="1" s="1"/>
  <c r="D738" i="1" a="1"/>
  <c r="D738" i="1" s="1"/>
  <c r="E738" i="1" s="1"/>
  <c r="D739" i="1" a="1"/>
  <c r="D739" i="1" s="1"/>
  <c r="E739" i="1" s="1"/>
  <c r="D740" i="1" a="1"/>
  <c r="D740" i="1" s="1"/>
  <c r="D741" i="1" a="1"/>
  <c r="D741" i="1" s="1"/>
  <c r="D742" i="1" a="1"/>
  <c r="D742" i="1" s="1"/>
  <c r="D743" i="1" a="1"/>
  <c r="D743" i="1" s="1"/>
  <c r="E743" i="1" s="1"/>
  <c r="D744" i="1" a="1"/>
  <c r="D744" i="1" s="1"/>
  <c r="E744" i="1" s="1"/>
  <c r="D745" i="1" a="1"/>
  <c r="D745" i="1" s="1"/>
  <c r="E745" i="1" s="1"/>
  <c r="D746" i="1" a="1"/>
  <c r="D746" i="1" s="1"/>
  <c r="E746" i="1" s="1"/>
  <c r="D747" i="1" a="1"/>
  <c r="D747" i="1" s="1"/>
  <c r="E747" i="1" s="1"/>
  <c r="D748" i="1" a="1"/>
  <c r="D748" i="1" s="1"/>
  <c r="D749" i="1" a="1"/>
  <c r="D749" i="1" s="1"/>
  <c r="D750" i="1" a="1"/>
  <c r="D750" i="1" s="1"/>
  <c r="D751" i="1" a="1"/>
  <c r="D751" i="1" s="1"/>
  <c r="E751" i="1" s="1"/>
  <c r="D752" i="1" a="1"/>
  <c r="D752" i="1" s="1"/>
  <c r="E752" i="1" s="1"/>
  <c r="D753" i="1" a="1"/>
  <c r="D753" i="1" s="1"/>
  <c r="E753" i="1" s="1"/>
  <c r="D754" i="1" a="1"/>
  <c r="D754" i="1" s="1"/>
  <c r="E754" i="1" s="1"/>
  <c r="D755" i="1" a="1"/>
  <c r="D755" i="1" s="1"/>
  <c r="E755" i="1" s="1"/>
  <c r="D756" i="1" a="1"/>
  <c r="D756" i="1" s="1"/>
  <c r="D757" i="1" a="1"/>
  <c r="D757" i="1" s="1"/>
  <c r="D758" i="1" a="1"/>
  <c r="D758" i="1" s="1"/>
  <c r="D759" i="1" a="1"/>
  <c r="D759" i="1" s="1"/>
  <c r="E759" i="1" s="1"/>
  <c r="D760" i="1" a="1"/>
  <c r="D760" i="1" s="1"/>
  <c r="E760" i="1" s="1"/>
  <c r="D761" i="1" a="1"/>
  <c r="D761" i="1" s="1"/>
  <c r="E761" i="1" s="1"/>
  <c r="D762" i="1" a="1"/>
  <c r="D762" i="1" s="1"/>
  <c r="E762" i="1" s="1"/>
  <c r="D763" i="1" a="1"/>
  <c r="D763" i="1" s="1"/>
  <c r="E763" i="1" s="1"/>
  <c r="D764" i="1" a="1"/>
  <c r="D764" i="1" s="1"/>
  <c r="D765" i="1" a="1"/>
  <c r="D765" i="1" s="1"/>
  <c r="D766" i="1" a="1"/>
  <c r="D766" i="1" s="1"/>
  <c r="D767" i="1" a="1"/>
  <c r="D767" i="1" s="1"/>
  <c r="E767" i="1" s="1"/>
  <c r="D768" i="1" a="1"/>
  <c r="D768" i="1" s="1"/>
  <c r="E768" i="1" s="1"/>
  <c r="D769" i="1" a="1"/>
  <c r="D769" i="1" s="1"/>
  <c r="E769" i="1" s="1"/>
  <c r="D770" i="1" a="1"/>
  <c r="D770" i="1" s="1"/>
  <c r="E770" i="1" s="1"/>
  <c r="D771" i="1" a="1"/>
  <c r="D771" i="1" s="1"/>
  <c r="E771" i="1" s="1"/>
  <c r="D772" i="1" a="1"/>
  <c r="D772" i="1" s="1"/>
  <c r="D773" i="1" a="1"/>
  <c r="D773" i="1" s="1"/>
  <c r="D774" i="1" a="1"/>
  <c r="D774" i="1" s="1"/>
  <c r="D775" i="1" a="1"/>
  <c r="D775" i="1" s="1"/>
  <c r="E775" i="1" s="1"/>
  <c r="D776" i="1" a="1"/>
  <c r="D776" i="1" s="1"/>
  <c r="E776" i="1" s="1"/>
  <c r="D777" i="1" a="1"/>
  <c r="D777" i="1" s="1"/>
  <c r="E777" i="1" s="1"/>
  <c r="D778" i="1" a="1"/>
  <c r="D778" i="1" s="1"/>
  <c r="E778" i="1" s="1"/>
  <c r="D779" i="1" a="1"/>
  <c r="D779" i="1" s="1"/>
  <c r="E779" i="1" s="1"/>
  <c r="D780" i="1" a="1"/>
  <c r="D780" i="1" s="1"/>
  <c r="D781" i="1" a="1"/>
  <c r="D781" i="1" s="1"/>
  <c r="D782" i="1" a="1"/>
  <c r="D782" i="1" s="1"/>
  <c r="D783" i="1" a="1"/>
  <c r="D783" i="1" s="1"/>
  <c r="E783" i="1" s="1"/>
  <c r="D784" i="1" a="1"/>
  <c r="D784" i="1" s="1"/>
  <c r="E784" i="1" s="1"/>
  <c r="D785" i="1" a="1"/>
  <c r="D785" i="1" s="1"/>
  <c r="E785" i="1" s="1"/>
  <c r="D786" i="1" a="1"/>
  <c r="D786" i="1" s="1"/>
  <c r="E786" i="1" s="1"/>
  <c r="D787" i="1" a="1"/>
  <c r="D787" i="1" s="1"/>
  <c r="E787" i="1" s="1"/>
  <c r="D788" i="1" a="1"/>
  <c r="D788" i="1" s="1"/>
  <c r="D789" i="1" a="1"/>
  <c r="D789" i="1" s="1"/>
  <c r="D790" i="1" a="1"/>
  <c r="D790" i="1" s="1"/>
  <c r="D791" i="1" a="1"/>
  <c r="D791" i="1" s="1"/>
  <c r="E791" i="1" s="1"/>
  <c r="D792" i="1" a="1"/>
  <c r="D792" i="1" s="1"/>
  <c r="E792" i="1" s="1"/>
  <c r="D793" i="1" a="1"/>
  <c r="D793" i="1" s="1"/>
  <c r="E793" i="1" s="1"/>
  <c r="D794" i="1" a="1"/>
  <c r="D794" i="1" s="1"/>
  <c r="E794" i="1" s="1"/>
  <c r="D795" i="1" a="1"/>
  <c r="D795" i="1" s="1"/>
  <c r="E795" i="1" s="1"/>
  <c r="D796" i="1" a="1"/>
  <c r="D796" i="1" s="1"/>
  <c r="D797" i="1" a="1"/>
  <c r="D797" i="1" s="1"/>
  <c r="D798" i="1" a="1"/>
  <c r="D798" i="1" s="1"/>
  <c r="D799" i="1" a="1"/>
  <c r="D799" i="1" s="1"/>
  <c r="E799" i="1" s="1"/>
  <c r="D800" i="1" a="1"/>
  <c r="D800" i="1" s="1"/>
  <c r="E800" i="1" s="1"/>
  <c r="D801" i="1" a="1"/>
  <c r="D801" i="1" s="1"/>
  <c r="E801" i="1" s="1"/>
  <c r="D802" i="1" a="1"/>
  <c r="D802" i="1" s="1"/>
  <c r="E802" i="1" s="1"/>
  <c r="D803" i="1" a="1"/>
  <c r="D803" i="1" s="1"/>
  <c r="E803" i="1" s="1"/>
  <c r="D804" i="1" a="1"/>
  <c r="D804" i="1" s="1"/>
  <c r="D805" i="1" a="1"/>
  <c r="D805" i="1" s="1"/>
  <c r="D806" i="1" a="1"/>
  <c r="D806" i="1" s="1"/>
  <c r="D807" i="1" a="1"/>
  <c r="D807" i="1" s="1"/>
  <c r="E807" i="1" s="1"/>
  <c r="D808" i="1" a="1"/>
  <c r="D808" i="1" s="1"/>
  <c r="E808" i="1" s="1"/>
  <c r="D809" i="1" a="1"/>
  <c r="D809" i="1" s="1"/>
  <c r="E809" i="1" s="1"/>
  <c r="D810" i="1" a="1"/>
  <c r="D810" i="1" s="1"/>
  <c r="E810" i="1" s="1"/>
  <c r="D811" i="1" a="1"/>
  <c r="D811" i="1" s="1"/>
  <c r="E811" i="1" s="1"/>
  <c r="D812" i="1" a="1"/>
  <c r="D812" i="1" s="1"/>
  <c r="D813" i="1" a="1"/>
  <c r="D813" i="1" s="1"/>
  <c r="D814" i="1" a="1"/>
  <c r="D814" i="1" s="1"/>
  <c r="D815" i="1" a="1"/>
  <c r="D815" i="1" s="1"/>
  <c r="E815" i="1" s="1"/>
  <c r="D816" i="1" a="1"/>
  <c r="D816" i="1" s="1"/>
  <c r="E816" i="1" s="1"/>
  <c r="D817" i="1" a="1"/>
  <c r="D817" i="1" s="1"/>
  <c r="E817" i="1" s="1"/>
  <c r="D818" i="1" a="1"/>
  <c r="D818" i="1" s="1"/>
  <c r="E818" i="1" s="1"/>
  <c r="D819" i="1" a="1"/>
  <c r="D819" i="1" s="1"/>
  <c r="E819" i="1" s="1"/>
  <c r="D820" i="1" a="1"/>
  <c r="D820" i="1" s="1"/>
  <c r="D821" i="1" a="1"/>
  <c r="D821" i="1" s="1"/>
  <c r="D822" i="1" a="1"/>
  <c r="D822" i="1" s="1"/>
  <c r="D823" i="1" a="1"/>
  <c r="D823" i="1" s="1"/>
  <c r="E823" i="1" s="1"/>
  <c r="D824" i="1" a="1"/>
  <c r="D824" i="1" s="1"/>
  <c r="E824" i="1" s="1"/>
  <c r="D825" i="1" a="1"/>
  <c r="D825" i="1" s="1"/>
  <c r="E825" i="1" s="1"/>
  <c r="D826" i="1" a="1"/>
  <c r="D826" i="1" s="1"/>
  <c r="E826" i="1" s="1"/>
  <c r="D827" i="1" a="1"/>
  <c r="D827" i="1" s="1"/>
  <c r="E827" i="1" s="1"/>
  <c r="D828" i="1" a="1"/>
  <c r="D828" i="1" s="1"/>
  <c r="D829" i="1" a="1"/>
  <c r="D829" i="1" s="1"/>
  <c r="D830" i="1" a="1"/>
  <c r="D830" i="1" s="1"/>
  <c r="D831" i="1" a="1"/>
  <c r="D831" i="1" s="1"/>
  <c r="E831" i="1" s="1"/>
  <c r="D832" i="1" a="1"/>
  <c r="D832" i="1" s="1"/>
  <c r="E832" i="1" s="1"/>
  <c r="D833" i="1" a="1"/>
  <c r="D833" i="1" s="1"/>
  <c r="E833" i="1" s="1"/>
  <c r="D834" i="1" a="1"/>
  <c r="D834" i="1" s="1"/>
  <c r="E834" i="1" s="1"/>
  <c r="D835" i="1" a="1"/>
  <c r="D835" i="1" s="1"/>
  <c r="E835" i="1" s="1"/>
  <c r="D836" i="1" a="1"/>
  <c r="D836" i="1" s="1"/>
  <c r="D837" i="1" a="1"/>
  <c r="D837" i="1" s="1"/>
  <c r="D838" i="1" a="1"/>
  <c r="D838" i="1" s="1"/>
  <c r="D839" i="1" a="1"/>
  <c r="D839" i="1" s="1"/>
  <c r="E839" i="1" s="1"/>
  <c r="D840" i="1" a="1"/>
  <c r="D840" i="1" s="1"/>
  <c r="E840" i="1" s="1"/>
  <c r="D841" i="1" a="1"/>
  <c r="D841" i="1" s="1"/>
  <c r="E841" i="1" s="1"/>
  <c r="D842" i="1" a="1"/>
  <c r="D842" i="1" s="1"/>
  <c r="E842" i="1" s="1"/>
  <c r="D843" i="1" a="1"/>
  <c r="D843" i="1" s="1"/>
  <c r="E843" i="1" s="1"/>
  <c r="D844" i="1" a="1"/>
  <c r="D844" i="1" s="1"/>
  <c r="D845" i="1" a="1"/>
  <c r="D845" i="1" s="1"/>
  <c r="D846" i="1" a="1"/>
  <c r="D846" i="1" s="1"/>
  <c r="D847" i="1" a="1"/>
  <c r="D847" i="1" s="1"/>
  <c r="E847" i="1" s="1"/>
  <c r="D848" i="1" a="1"/>
  <c r="D848" i="1" s="1"/>
  <c r="E848" i="1" s="1"/>
  <c r="D849" i="1" a="1"/>
  <c r="D849" i="1" s="1"/>
  <c r="E849" i="1" s="1"/>
  <c r="D850" i="1" a="1"/>
  <c r="D850" i="1" s="1"/>
  <c r="E850" i="1" s="1"/>
  <c r="D851" i="1" a="1"/>
  <c r="D851" i="1" s="1"/>
  <c r="E851" i="1" s="1"/>
  <c r="D852" i="1" a="1"/>
  <c r="D852" i="1" s="1"/>
  <c r="D853" i="1" a="1"/>
  <c r="D853" i="1" s="1"/>
  <c r="D854" i="1" a="1"/>
  <c r="D854" i="1" s="1"/>
  <c r="D855" i="1" a="1"/>
  <c r="D855" i="1" s="1"/>
  <c r="E855" i="1" s="1"/>
  <c r="D856" i="1" a="1"/>
  <c r="D856" i="1" s="1"/>
  <c r="E856" i="1" s="1"/>
  <c r="D857" i="1" a="1"/>
  <c r="D857" i="1" s="1"/>
  <c r="E857" i="1" s="1"/>
  <c r="D858" i="1" a="1"/>
  <c r="D858" i="1" s="1"/>
  <c r="E858" i="1" s="1"/>
  <c r="D859" i="1" a="1"/>
  <c r="D859" i="1" s="1"/>
  <c r="E859" i="1" s="1"/>
  <c r="D860" i="1" a="1"/>
  <c r="D860" i="1" s="1"/>
  <c r="D861" i="1" a="1"/>
  <c r="D861" i="1" s="1"/>
  <c r="D862" i="1" a="1"/>
  <c r="D862" i="1" s="1"/>
  <c r="D863" i="1" a="1"/>
  <c r="D863" i="1" s="1"/>
  <c r="E863" i="1" s="1"/>
  <c r="D864" i="1" a="1"/>
  <c r="D864" i="1" s="1"/>
  <c r="E864" i="1" s="1"/>
  <c r="D865" i="1" a="1"/>
  <c r="D865" i="1" s="1"/>
  <c r="E865" i="1" s="1"/>
  <c r="D866" i="1" a="1"/>
  <c r="D866" i="1" s="1"/>
  <c r="E866" i="1" s="1"/>
  <c r="D867" i="1" a="1"/>
  <c r="D867" i="1" s="1"/>
  <c r="E867" i="1" s="1"/>
  <c r="D868" i="1" a="1"/>
  <c r="D868" i="1" s="1"/>
  <c r="D869" i="1" a="1"/>
  <c r="D869" i="1" s="1"/>
  <c r="D870" i="1" a="1"/>
  <c r="D870" i="1" s="1"/>
  <c r="D871" i="1" a="1"/>
  <c r="D871" i="1" s="1"/>
  <c r="E871" i="1" s="1"/>
  <c r="D872" i="1" a="1"/>
  <c r="D872" i="1" s="1"/>
  <c r="E872" i="1" s="1"/>
  <c r="D873" i="1" a="1"/>
  <c r="D873" i="1" s="1"/>
  <c r="E873" i="1" s="1"/>
  <c r="D874" i="1" a="1"/>
  <c r="D874" i="1" s="1"/>
  <c r="E874" i="1" s="1"/>
  <c r="D875" i="1" a="1"/>
  <c r="D875" i="1" s="1"/>
  <c r="E875" i="1" s="1"/>
  <c r="D876" i="1" a="1"/>
  <c r="D876" i="1" s="1"/>
  <c r="D877" i="1" a="1"/>
  <c r="D877" i="1" s="1"/>
  <c r="D878" i="1" a="1"/>
  <c r="D878" i="1" s="1"/>
  <c r="D879" i="1" a="1"/>
  <c r="D879" i="1" s="1"/>
  <c r="E879" i="1" s="1"/>
  <c r="D880" i="1" a="1"/>
  <c r="D880" i="1" s="1"/>
  <c r="E880" i="1" s="1"/>
  <c r="D881" i="1" a="1"/>
  <c r="D881" i="1" s="1"/>
  <c r="E881" i="1" s="1"/>
  <c r="D882" i="1" a="1"/>
  <c r="D882" i="1" s="1"/>
  <c r="E882" i="1" s="1"/>
  <c r="D883" i="1" a="1"/>
  <c r="D883" i="1" s="1"/>
  <c r="E883" i="1" s="1"/>
  <c r="D884" i="1" a="1"/>
  <c r="D884" i="1" s="1"/>
  <c r="D885" i="1" a="1"/>
  <c r="D885" i="1" s="1"/>
  <c r="D886" i="1" a="1"/>
  <c r="D886" i="1" s="1"/>
  <c r="D887" i="1" a="1"/>
  <c r="D887" i="1" s="1"/>
  <c r="E887" i="1" s="1"/>
  <c r="D888" i="1" a="1"/>
  <c r="D888" i="1" s="1"/>
  <c r="E888" i="1" s="1"/>
  <c r="D889" i="1" a="1"/>
  <c r="D889" i="1" s="1"/>
  <c r="E889" i="1" s="1"/>
  <c r="D890" i="1" a="1"/>
  <c r="D890" i="1" s="1"/>
  <c r="E890" i="1" s="1"/>
  <c r="D891" i="1" a="1"/>
  <c r="D891" i="1" s="1"/>
  <c r="E891" i="1" s="1"/>
  <c r="D892" i="1" a="1"/>
  <c r="D892" i="1" s="1"/>
  <c r="D893" i="1" a="1"/>
  <c r="D893" i="1" s="1"/>
  <c r="D894" i="1" a="1"/>
  <c r="D894" i="1" s="1"/>
  <c r="D895" i="1" a="1"/>
  <c r="D895" i="1" s="1"/>
  <c r="E895" i="1" s="1"/>
  <c r="D896" i="1" a="1"/>
  <c r="D896" i="1" s="1"/>
  <c r="E896" i="1" s="1"/>
  <c r="D897" i="1" a="1"/>
  <c r="D897" i="1" s="1"/>
  <c r="E897" i="1" s="1"/>
  <c r="D898" i="1" a="1"/>
  <c r="D898" i="1" s="1"/>
  <c r="E898" i="1" s="1"/>
  <c r="D899" i="1" a="1"/>
  <c r="D899" i="1" s="1"/>
  <c r="E899" i="1" s="1"/>
  <c r="D900" i="1" a="1"/>
  <c r="D900" i="1" s="1"/>
  <c r="D901" i="1" a="1"/>
  <c r="D901" i="1" s="1"/>
  <c r="D902" i="1" a="1"/>
  <c r="D902" i="1" s="1"/>
  <c r="D903" i="1" a="1"/>
  <c r="D903" i="1" s="1"/>
  <c r="E903" i="1" s="1"/>
  <c r="D904" i="1" a="1"/>
  <c r="D904" i="1" s="1"/>
  <c r="E904" i="1" s="1"/>
  <c r="D905" i="1" a="1"/>
  <c r="D905" i="1" s="1"/>
  <c r="E905" i="1" s="1"/>
  <c r="D906" i="1" a="1"/>
  <c r="D906" i="1" s="1"/>
  <c r="E906" i="1" s="1"/>
  <c r="D907" i="1" a="1"/>
  <c r="D907" i="1" s="1"/>
  <c r="E907" i="1" s="1"/>
  <c r="D908" i="1" a="1"/>
  <c r="D908" i="1" s="1"/>
  <c r="D909" i="1" a="1"/>
  <c r="D909" i="1" s="1"/>
  <c r="D910" i="1" a="1"/>
  <c r="D910" i="1" s="1"/>
  <c r="D911" i="1" a="1"/>
  <c r="D911" i="1" s="1"/>
  <c r="E911" i="1" s="1"/>
  <c r="D912" i="1" a="1"/>
  <c r="D912" i="1" s="1"/>
  <c r="E912" i="1" s="1"/>
  <c r="D913" i="1" a="1"/>
  <c r="D913" i="1" s="1"/>
  <c r="E913" i="1" s="1"/>
  <c r="D914" i="1" a="1"/>
  <c r="D914" i="1" s="1"/>
  <c r="E914" i="1" s="1"/>
  <c r="D915" i="1" a="1"/>
  <c r="D915" i="1" s="1"/>
  <c r="E915" i="1" s="1"/>
  <c r="D916" i="1" a="1"/>
  <c r="D916" i="1" s="1"/>
  <c r="D917" i="1" a="1"/>
  <c r="D917" i="1" s="1"/>
  <c r="D918" i="1" a="1"/>
  <c r="D918" i="1" s="1"/>
  <c r="D919" i="1" a="1"/>
  <c r="D919" i="1" s="1"/>
  <c r="E919" i="1" s="1"/>
  <c r="D920" i="1" a="1"/>
  <c r="D920" i="1" s="1"/>
  <c r="E920" i="1" s="1"/>
  <c r="D921" i="1" a="1"/>
  <c r="D921" i="1" s="1"/>
  <c r="E921" i="1" s="1"/>
  <c r="D922" i="1" a="1"/>
  <c r="D922" i="1" s="1"/>
  <c r="E922" i="1" s="1"/>
  <c r="D923" i="1" a="1"/>
  <c r="D923" i="1" s="1"/>
  <c r="E923" i="1" s="1"/>
  <c r="D924" i="1" a="1"/>
  <c r="D924" i="1" s="1"/>
  <c r="D925" i="1" a="1"/>
  <c r="D925" i="1" s="1"/>
  <c r="D926" i="1" a="1"/>
  <c r="D926" i="1" s="1"/>
  <c r="D927" i="1" a="1"/>
  <c r="D927" i="1" s="1"/>
  <c r="E927" i="1" s="1"/>
  <c r="D928" i="1" a="1"/>
  <c r="D928" i="1" s="1"/>
  <c r="E928" i="1" s="1"/>
  <c r="D929" i="1" a="1"/>
  <c r="D929" i="1" s="1"/>
  <c r="E929" i="1" s="1"/>
  <c r="D930" i="1" a="1"/>
  <c r="D930" i="1" s="1"/>
  <c r="E930" i="1" s="1"/>
  <c r="D931" i="1" a="1"/>
  <c r="D931" i="1" s="1"/>
  <c r="E931" i="1" s="1"/>
  <c r="D932" i="1" a="1"/>
  <c r="D932" i="1" s="1"/>
  <c r="D933" i="1" a="1"/>
  <c r="D933" i="1" s="1"/>
  <c r="D934" i="1" a="1"/>
  <c r="D934" i="1" s="1"/>
  <c r="D935" i="1" a="1"/>
  <c r="D935" i="1" s="1"/>
  <c r="E935" i="1" s="1"/>
  <c r="D936" i="1" a="1"/>
  <c r="D936" i="1" s="1"/>
  <c r="E936" i="1" s="1"/>
  <c r="D937" i="1" a="1"/>
  <c r="D937" i="1" s="1"/>
  <c r="E937" i="1" s="1"/>
  <c r="D938" i="1" a="1"/>
  <c r="D938" i="1" s="1"/>
  <c r="E938" i="1" s="1"/>
  <c r="D939" i="1" a="1"/>
  <c r="D939" i="1" s="1"/>
  <c r="E939" i="1" s="1"/>
  <c r="D940" i="1" a="1"/>
  <c r="D940" i="1" s="1"/>
  <c r="D941" i="1" a="1"/>
  <c r="D941" i="1" s="1"/>
  <c r="D942" i="1" a="1"/>
  <c r="D942" i="1" s="1"/>
  <c r="D943" i="1" a="1"/>
  <c r="D943" i="1" s="1"/>
  <c r="E943" i="1" s="1"/>
  <c r="D944" i="1" a="1"/>
  <c r="D944" i="1" s="1"/>
  <c r="E944" i="1" s="1"/>
  <c r="D945" i="1" a="1"/>
  <c r="D945" i="1" s="1"/>
  <c r="E945" i="1" s="1"/>
  <c r="D946" i="1" a="1"/>
  <c r="D946" i="1" s="1"/>
  <c r="E946" i="1" s="1"/>
  <c r="D947" i="1" a="1"/>
  <c r="D947" i="1" s="1"/>
  <c r="E947" i="1" s="1"/>
  <c r="D948" i="1" a="1"/>
  <c r="D948" i="1" s="1"/>
  <c r="D949" i="1" a="1"/>
  <c r="D949" i="1" s="1"/>
  <c r="D950" i="1" a="1"/>
  <c r="D950" i="1" s="1"/>
  <c r="D951" i="1" a="1"/>
  <c r="D951" i="1" s="1"/>
  <c r="E951" i="1" s="1"/>
  <c r="D952" i="1" a="1"/>
  <c r="D952" i="1" s="1"/>
  <c r="E952" i="1" s="1"/>
  <c r="D953" i="1" a="1"/>
  <c r="D953" i="1" s="1"/>
  <c r="E953" i="1" s="1"/>
  <c r="D954" i="1" a="1"/>
  <c r="D954" i="1" s="1"/>
  <c r="E954" i="1" s="1"/>
  <c r="D955" i="1" a="1"/>
  <c r="D955" i="1" s="1"/>
  <c r="E955" i="1" s="1"/>
  <c r="D956" i="1" a="1"/>
  <c r="D956" i="1" s="1"/>
  <c r="D957" i="1" a="1"/>
  <c r="D957" i="1" s="1"/>
  <c r="D958" i="1" a="1"/>
  <c r="D958" i="1" s="1"/>
  <c r="D959" i="1" a="1"/>
  <c r="D959" i="1" s="1"/>
  <c r="E959" i="1" s="1"/>
  <c r="D960" i="1" a="1"/>
  <c r="D960" i="1" s="1"/>
  <c r="E960" i="1" s="1"/>
  <c r="D961" i="1" a="1"/>
  <c r="D961" i="1" s="1"/>
  <c r="E961" i="1" s="1"/>
  <c r="D962" i="1" a="1"/>
  <c r="D962" i="1" s="1"/>
  <c r="E962" i="1" s="1"/>
  <c r="D963" i="1" a="1"/>
  <c r="D963" i="1" s="1"/>
  <c r="E963" i="1" s="1"/>
  <c r="D964" i="1" a="1"/>
  <c r="D964" i="1" s="1"/>
  <c r="D965" i="1" a="1"/>
  <c r="D965" i="1" s="1"/>
  <c r="D966" i="1" a="1"/>
  <c r="D966" i="1" s="1"/>
  <c r="D967" i="1" a="1"/>
  <c r="D967" i="1" s="1"/>
  <c r="E967" i="1" s="1"/>
  <c r="D968" i="1" a="1"/>
  <c r="D968" i="1" s="1"/>
  <c r="E968" i="1" s="1"/>
  <c r="D969" i="1" a="1"/>
  <c r="D969" i="1" s="1"/>
  <c r="E969" i="1" s="1"/>
  <c r="D970" i="1" a="1"/>
  <c r="D970" i="1" s="1"/>
  <c r="E970" i="1" s="1"/>
  <c r="D971" i="1" a="1"/>
  <c r="D971" i="1" s="1"/>
  <c r="E971" i="1" s="1"/>
  <c r="D972" i="1" a="1"/>
  <c r="D972" i="1" s="1"/>
  <c r="D973" i="1" a="1"/>
  <c r="D973" i="1" s="1"/>
  <c r="D974" i="1" a="1"/>
  <c r="D974" i="1" s="1"/>
  <c r="D975" i="1" a="1"/>
  <c r="D975" i="1" s="1"/>
  <c r="E975" i="1" s="1"/>
  <c r="D976" i="1" a="1"/>
  <c r="D976" i="1" s="1"/>
  <c r="E976" i="1" s="1"/>
  <c r="D977" i="1" a="1"/>
  <c r="D977" i="1" s="1"/>
  <c r="E977" i="1" s="1"/>
  <c r="D978" i="1" a="1"/>
  <c r="D978" i="1" s="1"/>
  <c r="E978" i="1" s="1"/>
  <c r="D979" i="1" a="1"/>
  <c r="D979" i="1" s="1"/>
  <c r="E979" i="1" s="1"/>
  <c r="D980" i="1" a="1"/>
  <c r="D980" i="1" s="1"/>
  <c r="D981" i="1" a="1"/>
  <c r="D981" i="1" s="1"/>
  <c r="D982" i="1" a="1"/>
  <c r="D982" i="1" s="1"/>
  <c r="D983" i="1" a="1"/>
  <c r="D983" i="1" s="1"/>
  <c r="E983" i="1" s="1"/>
  <c r="D984" i="1" a="1"/>
  <c r="D984" i="1" s="1"/>
  <c r="E984" i="1" s="1"/>
  <c r="D985" i="1" a="1"/>
  <c r="D985" i="1" s="1"/>
  <c r="E985" i="1" s="1"/>
  <c r="D986" i="1" a="1"/>
  <c r="D986" i="1" s="1"/>
  <c r="E986" i="1" s="1"/>
  <c r="D987" i="1" a="1"/>
  <c r="D987" i="1" s="1"/>
  <c r="E987" i="1" s="1"/>
  <c r="D988" i="1" a="1"/>
  <c r="D988" i="1" s="1"/>
  <c r="D989" i="1" a="1"/>
  <c r="D989" i="1" s="1"/>
  <c r="D990" i="1" a="1"/>
  <c r="D990" i="1" s="1"/>
  <c r="D991" i="1" a="1"/>
  <c r="D991" i="1" s="1"/>
  <c r="E991" i="1" s="1"/>
  <c r="D992" i="1" a="1"/>
  <c r="D992" i="1" s="1"/>
  <c r="E992" i="1" s="1"/>
  <c r="D993" i="1" a="1"/>
  <c r="D993" i="1" s="1"/>
  <c r="E993" i="1" s="1"/>
  <c r="D994" i="1" a="1"/>
  <c r="D994" i="1" s="1"/>
  <c r="E994" i="1" s="1"/>
  <c r="D995" i="1" a="1"/>
  <c r="D995" i="1" s="1"/>
  <c r="E995" i="1" s="1"/>
  <c r="D996" i="1" a="1"/>
  <c r="D996" i="1" s="1"/>
  <c r="D997" i="1" a="1"/>
  <c r="D997" i="1" s="1"/>
  <c r="D998" i="1" a="1"/>
  <c r="D998" i="1" s="1"/>
  <c r="D999" i="1" a="1"/>
  <c r="D999" i="1" s="1"/>
  <c r="E999" i="1" s="1"/>
  <c r="D1000" i="1" a="1"/>
  <c r="D1000" i="1" s="1"/>
  <c r="E1000" i="1" s="1"/>
  <c r="D1001" i="1" a="1"/>
  <c r="D1001" i="1" s="1"/>
  <c r="E1001" i="1" s="1"/>
  <c r="D1002" i="1" a="1"/>
  <c r="D1002" i="1" s="1"/>
  <c r="E1002" i="1" s="1"/>
  <c r="D3" i="1" a="1"/>
  <c r="D3" i="1" s="1"/>
  <c r="E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3" i="1" a="1"/>
  <c r="C3" i="1" s="1"/>
  <c r="B1001" i="1"/>
  <c r="B1002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3" i="1"/>
  <c r="E988" i="1" l="1"/>
  <c r="G988" i="1"/>
  <c r="I988" i="1" s="1"/>
  <c r="E980" i="1"/>
  <c r="G980" i="1"/>
  <c r="I980" i="1" s="1"/>
  <c r="E956" i="1"/>
  <c r="G956" i="1"/>
  <c r="I956" i="1" s="1"/>
  <c r="E940" i="1"/>
  <c r="G940" i="1"/>
  <c r="I940" i="1" s="1"/>
  <c r="E924" i="1"/>
  <c r="G924" i="1"/>
  <c r="I924" i="1" s="1"/>
  <c r="E916" i="1"/>
  <c r="G916" i="1"/>
  <c r="I916" i="1" s="1"/>
  <c r="E900" i="1"/>
  <c r="G900" i="1"/>
  <c r="I900" i="1" s="1"/>
  <c r="E876" i="1"/>
  <c r="G876" i="1"/>
  <c r="I876" i="1" s="1"/>
  <c r="E860" i="1"/>
  <c r="G860" i="1"/>
  <c r="I860" i="1" s="1"/>
  <c r="E844" i="1"/>
  <c r="G844" i="1"/>
  <c r="I844" i="1" s="1"/>
  <c r="E836" i="1"/>
  <c r="G836" i="1"/>
  <c r="I836" i="1" s="1"/>
  <c r="E820" i="1"/>
  <c r="G820" i="1"/>
  <c r="I820" i="1" s="1"/>
  <c r="E804" i="1"/>
  <c r="G804" i="1"/>
  <c r="I804" i="1" s="1"/>
  <c r="E788" i="1"/>
  <c r="G788" i="1"/>
  <c r="I788" i="1" s="1"/>
  <c r="E772" i="1"/>
  <c r="G772" i="1"/>
  <c r="I772" i="1" s="1"/>
  <c r="E756" i="1"/>
  <c r="G756" i="1"/>
  <c r="I756" i="1" s="1"/>
  <c r="E740" i="1"/>
  <c r="G740" i="1"/>
  <c r="I740" i="1" s="1"/>
  <c r="E724" i="1"/>
  <c r="G724" i="1"/>
  <c r="I724" i="1" s="1"/>
  <c r="E708" i="1"/>
  <c r="G708" i="1"/>
  <c r="I708" i="1" s="1"/>
  <c r="E700" i="1"/>
  <c r="G700" i="1"/>
  <c r="I700" i="1" s="1"/>
  <c r="E684" i="1"/>
  <c r="G684" i="1"/>
  <c r="I684" i="1" s="1"/>
  <c r="E668" i="1"/>
  <c r="G668" i="1"/>
  <c r="I668" i="1" s="1"/>
  <c r="E652" i="1"/>
  <c r="G652" i="1"/>
  <c r="I652" i="1" s="1"/>
  <c r="E636" i="1"/>
  <c r="G636" i="1"/>
  <c r="I636" i="1" s="1"/>
  <c r="E620" i="1"/>
  <c r="G620" i="1"/>
  <c r="I620" i="1" s="1"/>
  <c r="E604" i="1"/>
  <c r="G604" i="1"/>
  <c r="I604" i="1" s="1"/>
  <c r="E596" i="1"/>
  <c r="G596" i="1"/>
  <c r="I596" i="1" s="1"/>
  <c r="E580" i="1"/>
  <c r="G580" i="1"/>
  <c r="I580" i="1" s="1"/>
  <c r="E564" i="1"/>
  <c r="G564" i="1"/>
  <c r="I564" i="1" s="1"/>
  <c r="E548" i="1"/>
  <c r="G548" i="1"/>
  <c r="I548" i="1" s="1"/>
  <c r="E532" i="1"/>
  <c r="G532" i="1"/>
  <c r="I532" i="1" s="1"/>
  <c r="E516" i="1"/>
  <c r="G516" i="1"/>
  <c r="I516" i="1" s="1"/>
  <c r="E500" i="1"/>
  <c r="G500" i="1"/>
  <c r="I500" i="1" s="1"/>
  <c r="E476" i="1"/>
  <c r="G476" i="1"/>
  <c r="I476" i="1" s="1"/>
  <c r="E460" i="1"/>
  <c r="G460" i="1"/>
  <c r="I460" i="1" s="1"/>
  <c r="E444" i="1"/>
  <c r="G444" i="1"/>
  <c r="I444" i="1" s="1"/>
  <c r="E420" i="1"/>
  <c r="G420" i="1"/>
  <c r="I420" i="1" s="1"/>
  <c r="E404" i="1"/>
  <c r="G404" i="1"/>
  <c r="I404" i="1" s="1"/>
  <c r="E388" i="1"/>
  <c r="G388" i="1"/>
  <c r="I388" i="1" s="1"/>
  <c r="E372" i="1"/>
  <c r="G372" i="1"/>
  <c r="I372" i="1" s="1"/>
  <c r="E356" i="1"/>
  <c r="G356" i="1"/>
  <c r="I356" i="1" s="1"/>
  <c r="E332" i="1"/>
  <c r="G332" i="1"/>
  <c r="I332" i="1" s="1"/>
  <c r="E316" i="1"/>
  <c r="G316" i="1"/>
  <c r="I316" i="1" s="1"/>
  <c r="E300" i="1"/>
  <c r="G300" i="1"/>
  <c r="I300" i="1" s="1"/>
  <c r="E284" i="1"/>
  <c r="G284" i="1"/>
  <c r="I284" i="1" s="1"/>
  <c r="E268" i="1"/>
  <c r="G268" i="1"/>
  <c r="I268" i="1" s="1"/>
  <c r="E244" i="1"/>
  <c r="G244" i="1"/>
  <c r="I244" i="1" s="1"/>
  <c r="E228" i="1"/>
  <c r="G228" i="1"/>
  <c r="I228" i="1" s="1"/>
  <c r="E220" i="1"/>
  <c r="G220" i="1"/>
  <c r="I220" i="1" s="1"/>
  <c r="E204" i="1"/>
  <c r="G204" i="1"/>
  <c r="I204" i="1" s="1"/>
  <c r="E188" i="1"/>
  <c r="G188" i="1"/>
  <c r="I188" i="1" s="1"/>
  <c r="E172" i="1"/>
  <c r="G172" i="1"/>
  <c r="I172" i="1" s="1"/>
  <c r="E156" i="1"/>
  <c r="G156" i="1"/>
  <c r="I156" i="1" s="1"/>
  <c r="E140" i="1"/>
  <c r="G140" i="1"/>
  <c r="I140" i="1" s="1"/>
  <c r="E124" i="1"/>
  <c r="G124" i="1"/>
  <c r="I124" i="1" s="1"/>
  <c r="E108" i="1"/>
  <c r="G108" i="1"/>
  <c r="I108" i="1" s="1"/>
  <c r="E92" i="1"/>
  <c r="G92" i="1"/>
  <c r="I92" i="1" s="1"/>
  <c r="E76" i="1"/>
  <c r="G76" i="1"/>
  <c r="I76" i="1" s="1"/>
  <c r="E60" i="1"/>
  <c r="G60" i="1"/>
  <c r="I60" i="1" s="1"/>
  <c r="E44" i="1"/>
  <c r="G44" i="1"/>
  <c r="I44" i="1" s="1"/>
  <c r="E28" i="1"/>
  <c r="G28" i="1"/>
  <c r="I28" i="1" s="1"/>
  <c r="E12" i="1"/>
  <c r="G12" i="1"/>
  <c r="I12" i="1" s="1"/>
  <c r="E998" i="1"/>
  <c r="G998" i="1"/>
  <c r="I998" i="1" s="1"/>
  <c r="E982" i="1"/>
  <c r="G982" i="1"/>
  <c r="I982" i="1" s="1"/>
  <c r="E966" i="1"/>
  <c r="G966" i="1"/>
  <c r="I966" i="1" s="1"/>
  <c r="E958" i="1"/>
  <c r="G958" i="1"/>
  <c r="I958" i="1" s="1"/>
  <c r="E942" i="1"/>
  <c r="G942" i="1"/>
  <c r="I942" i="1" s="1"/>
  <c r="E926" i="1"/>
  <c r="G926" i="1"/>
  <c r="I926" i="1" s="1"/>
  <c r="E910" i="1"/>
  <c r="G910" i="1"/>
  <c r="I910" i="1" s="1"/>
  <c r="E894" i="1"/>
  <c r="G894" i="1"/>
  <c r="I894" i="1" s="1"/>
  <c r="E870" i="1"/>
  <c r="G870" i="1"/>
  <c r="I870" i="1" s="1"/>
  <c r="E854" i="1"/>
  <c r="G854" i="1"/>
  <c r="I854" i="1" s="1"/>
  <c r="E838" i="1"/>
  <c r="G838" i="1"/>
  <c r="I838" i="1" s="1"/>
  <c r="E814" i="1"/>
  <c r="G814" i="1"/>
  <c r="I814" i="1" s="1"/>
  <c r="E798" i="1"/>
  <c r="G798" i="1"/>
  <c r="I798" i="1" s="1"/>
  <c r="E790" i="1"/>
  <c r="G790" i="1"/>
  <c r="I790" i="1" s="1"/>
  <c r="E774" i="1"/>
  <c r="G774" i="1"/>
  <c r="I774" i="1" s="1"/>
  <c r="E758" i="1"/>
  <c r="G758" i="1"/>
  <c r="I758" i="1" s="1"/>
  <c r="E742" i="1"/>
  <c r="G742" i="1"/>
  <c r="I742" i="1" s="1"/>
  <c r="E726" i="1"/>
  <c r="G726" i="1"/>
  <c r="I726" i="1" s="1"/>
  <c r="E710" i="1"/>
  <c r="G710" i="1"/>
  <c r="I710" i="1" s="1"/>
  <c r="E694" i="1"/>
  <c r="G694" i="1"/>
  <c r="I694" i="1" s="1"/>
  <c r="E678" i="1"/>
  <c r="G678" i="1"/>
  <c r="I678" i="1" s="1"/>
  <c r="E670" i="1"/>
  <c r="G670" i="1"/>
  <c r="I670" i="1" s="1"/>
  <c r="E654" i="1"/>
  <c r="G654" i="1"/>
  <c r="I654" i="1" s="1"/>
  <c r="E630" i="1"/>
  <c r="G630" i="1"/>
  <c r="I630" i="1" s="1"/>
  <c r="E614" i="1"/>
  <c r="G614" i="1"/>
  <c r="I614" i="1" s="1"/>
  <c r="E598" i="1"/>
  <c r="G598" i="1"/>
  <c r="I598" i="1" s="1"/>
  <c r="E590" i="1"/>
  <c r="G590" i="1"/>
  <c r="I590" i="1" s="1"/>
  <c r="E582" i="1"/>
  <c r="G582" i="1"/>
  <c r="I582" i="1" s="1"/>
  <c r="E574" i="1"/>
  <c r="G574" i="1"/>
  <c r="I574" i="1" s="1"/>
  <c r="E566" i="1"/>
  <c r="G566" i="1"/>
  <c r="I566" i="1" s="1"/>
  <c r="E558" i="1"/>
  <c r="G558" i="1"/>
  <c r="I558" i="1" s="1"/>
  <c r="E550" i="1"/>
  <c r="G550" i="1"/>
  <c r="I550" i="1" s="1"/>
  <c r="E542" i="1"/>
  <c r="G542" i="1"/>
  <c r="I542" i="1" s="1"/>
  <c r="E534" i="1"/>
  <c r="G534" i="1"/>
  <c r="I534" i="1" s="1"/>
  <c r="E526" i="1"/>
  <c r="G526" i="1"/>
  <c r="I526" i="1" s="1"/>
  <c r="E518" i="1"/>
  <c r="G518" i="1"/>
  <c r="I518" i="1" s="1"/>
  <c r="E510" i="1"/>
  <c r="G510" i="1"/>
  <c r="I510" i="1" s="1"/>
  <c r="E502" i="1"/>
  <c r="G502" i="1"/>
  <c r="I502" i="1" s="1"/>
  <c r="E494" i="1"/>
  <c r="G494" i="1"/>
  <c r="I494" i="1" s="1"/>
  <c r="E486" i="1"/>
  <c r="G486" i="1"/>
  <c r="I486" i="1" s="1"/>
  <c r="E478" i="1"/>
  <c r="G478" i="1"/>
  <c r="I478" i="1" s="1"/>
  <c r="E470" i="1"/>
  <c r="G470" i="1"/>
  <c r="I470" i="1" s="1"/>
  <c r="E462" i="1"/>
  <c r="G462" i="1"/>
  <c r="I462" i="1" s="1"/>
  <c r="E454" i="1"/>
  <c r="G454" i="1"/>
  <c r="I454" i="1" s="1"/>
  <c r="E446" i="1"/>
  <c r="G446" i="1"/>
  <c r="I446" i="1" s="1"/>
  <c r="E438" i="1"/>
  <c r="G438" i="1"/>
  <c r="I438" i="1" s="1"/>
  <c r="E430" i="1"/>
  <c r="G430" i="1"/>
  <c r="I430" i="1" s="1"/>
  <c r="E422" i="1"/>
  <c r="G422" i="1"/>
  <c r="I422" i="1" s="1"/>
  <c r="E414" i="1"/>
  <c r="G414" i="1"/>
  <c r="I414" i="1" s="1"/>
  <c r="E398" i="1"/>
  <c r="G398" i="1"/>
  <c r="I398" i="1" s="1"/>
  <c r="E390" i="1"/>
  <c r="G390" i="1"/>
  <c r="I390" i="1" s="1"/>
  <c r="E382" i="1"/>
  <c r="G382" i="1"/>
  <c r="I382" i="1" s="1"/>
  <c r="E374" i="1"/>
  <c r="G374" i="1"/>
  <c r="I374" i="1" s="1"/>
  <c r="E366" i="1"/>
  <c r="G366" i="1"/>
  <c r="I366" i="1" s="1"/>
  <c r="E358" i="1"/>
  <c r="G358" i="1"/>
  <c r="I358" i="1" s="1"/>
  <c r="E350" i="1"/>
  <c r="G350" i="1"/>
  <c r="I350" i="1" s="1"/>
  <c r="E342" i="1"/>
  <c r="G342" i="1"/>
  <c r="I342" i="1" s="1"/>
  <c r="E334" i="1"/>
  <c r="G334" i="1"/>
  <c r="I334" i="1" s="1"/>
  <c r="E326" i="1"/>
  <c r="G326" i="1"/>
  <c r="I326" i="1" s="1"/>
  <c r="E318" i="1"/>
  <c r="G318" i="1"/>
  <c r="I318" i="1" s="1"/>
  <c r="E310" i="1"/>
  <c r="G310" i="1"/>
  <c r="I310" i="1" s="1"/>
  <c r="E302" i="1"/>
  <c r="G302" i="1"/>
  <c r="I302" i="1" s="1"/>
  <c r="E294" i="1"/>
  <c r="G294" i="1"/>
  <c r="I294" i="1" s="1"/>
  <c r="E286" i="1"/>
  <c r="G286" i="1"/>
  <c r="I286" i="1" s="1"/>
  <c r="E278" i="1"/>
  <c r="G278" i="1"/>
  <c r="I278" i="1" s="1"/>
  <c r="E270" i="1"/>
  <c r="G270" i="1"/>
  <c r="I270" i="1" s="1"/>
  <c r="E262" i="1"/>
  <c r="G262" i="1"/>
  <c r="I262" i="1" s="1"/>
  <c r="E254" i="1"/>
  <c r="G254" i="1"/>
  <c r="I254" i="1" s="1"/>
  <c r="E246" i="1"/>
  <c r="G246" i="1"/>
  <c r="I246" i="1" s="1"/>
  <c r="E238" i="1"/>
  <c r="G238" i="1"/>
  <c r="I238" i="1" s="1"/>
  <c r="E230" i="1"/>
  <c r="G230" i="1"/>
  <c r="I230" i="1" s="1"/>
  <c r="E222" i="1"/>
  <c r="G222" i="1"/>
  <c r="I222" i="1" s="1"/>
  <c r="E214" i="1"/>
  <c r="G214" i="1"/>
  <c r="I214" i="1" s="1"/>
  <c r="E206" i="1"/>
  <c r="G206" i="1"/>
  <c r="I206" i="1" s="1"/>
  <c r="E198" i="1"/>
  <c r="G198" i="1"/>
  <c r="I198" i="1" s="1"/>
  <c r="E190" i="1"/>
  <c r="G190" i="1"/>
  <c r="I190" i="1" s="1"/>
  <c r="E182" i="1"/>
  <c r="G182" i="1"/>
  <c r="I182" i="1" s="1"/>
  <c r="E174" i="1"/>
  <c r="G174" i="1"/>
  <c r="I174" i="1" s="1"/>
  <c r="E166" i="1"/>
  <c r="G166" i="1"/>
  <c r="I166" i="1" s="1"/>
  <c r="E158" i="1"/>
  <c r="G158" i="1"/>
  <c r="I158" i="1" s="1"/>
  <c r="E150" i="1"/>
  <c r="G150" i="1"/>
  <c r="I150" i="1" s="1"/>
  <c r="E142" i="1"/>
  <c r="G142" i="1"/>
  <c r="I142" i="1" s="1"/>
  <c r="E134" i="1"/>
  <c r="G134" i="1"/>
  <c r="I134" i="1" s="1"/>
  <c r="E126" i="1"/>
  <c r="G126" i="1"/>
  <c r="I126" i="1" s="1"/>
  <c r="E118" i="1"/>
  <c r="G118" i="1"/>
  <c r="I118" i="1" s="1"/>
  <c r="E110" i="1"/>
  <c r="G110" i="1"/>
  <c r="I110" i="1" s="1"/>
  <c r="E102" i="1"/>
  <c r="G102" i="1"/>
  <c r="I102" i="1" s="1"/>
  <c r="E94" i="1"/>
  <c r="G94" i="1"/>
  <c r="I94" i="1" s="1"/>
  <c r="E86" i="1"/>
  <c r="G86" i="1"/>
  <c r="I86" i="1" s="1"/>
  <c r="E78" i="1"/>
  <c r="G78" i="1"/>
  <c r="I78" i="1" s="1"/>
  <c r="E70" i="1"/>
  <c r="G70" i="1"/>
  <c r="I70" i="1" s="1"/>
  <c r="E62" i="1"/>
  <c r="G62" i="1"/>
  <c r="I62" i="1" s="1"/>
  <c r="E54" i="1"/>
  <c r="G54" i="1"/>
  <c r="I54" i="1" s="1"/>
  <c r="E46" i="1"/>
  <c r="G46" i="1"/>
  <c r="I46" i="1" s="1"/>
  <c r="E38" i="1"/>
  <c r="G38" i="1"/>
  <c r="I38" i="1" s="1"/>
  <c r="E30" i="1"/>
  <c r="G30" i="1"/>
  <c r="I30" i="1" s="1"/>
  <c r="E22" i="1"/>
  <c r="G22" i="1"/>
  <c r="I22" i="1" s="1"/>
  <c r="E14" i="1"/>
  <c r="G14" i="1"/>
  <c r="I14" i="1" s="1"/>
  <c r="E6" i="1"/>
  <c r="G6" i="1"/>
  <c r="I6" i="1" s="1"/>
  <c r="E990" i="1"/>
  <c r="G990" i="1"/>
  <c r="I990" i="1" s="1"/>
  <c r="E974" i="1"/>
  <c r="G974" i="1"/>
  <c r="I974" i="1" s="1"/>
  <c r="E950" i="1"/>
  <c r="G950" i="1"/>
  <c r="I950" i="1" s="1"/>
  <c r="E934" i="1"/>
  <c r="G934" i="1"/>
  <c r="I934" i="1" s="1"/>
  <c r="E918" i="1"/>
  <c r="G918" i="1"/>
  <c r="I918" i="1" s="1"/>
  <c r="E902" i="1"/>
  <c r="G902" i="1"/>
  <c r="I902" i="1" s="1"/>
  <c r="E886" i="1"/>
  <c r="G886" i="1"/>
  <c r="I886" i="1" s="1"/>
  <c r="E878" i="1"/>
  <c r="G878" i="1"/>
  <c r="I878" i="1" s="1"/>
  <c r="E862" i="1"/>
  <c r="G862" i="1"/>
  <c r="I862" i="1" s="1"/>
  <c r="E846" i="1"/>
  <c r="G846" i="1"/>
  <c r="I846" i="1" s="1"/>
  <c r="E830" i="1"/>
  <c r="G830" i="1"/>
  <c r="I830" i="1" s="1"/>
  <c r="E822" i="1"/>
  <c r="G822" i="1"/>
  <c r="I822" i="1" s="1"/>
  <c r="E806" i="1"/>
  <c r="G806" i="1"/>
  <c r="I806" i="1" s="1"/>
  <c r="E782" i="1"/>
  <c r="G782" i="1"/>
  <c r="I782" i="1" s="1"/>
  <c r="E766" i="1"/>
  <c r="G766" i="1"/>
  <c r="I766" i="1" s="1"/>
  <c r="E750" i="1"/>
  <c r="G750" i="1"/>
  <c r="I750" i="1" s="1"/>
  <c r="E734" i="1"/>
  <c r="G734" i="1"/>
  <c r="I734" i="1" s="1"/>
  <c r="E718" i="1"/>
  <c r="G718" i="1"/>
  <c r="I718" i="1" s="1"/>
  <c r="E702" i="1"/>
  <c r="G702" i="1"/>
  <c r="I702" i="1" s="1"/>
  <c r="E686" i="1"/>
  <c r="G686" i="1"/>
  <c r="I686" i="1" s="1"/>
  <c r="E662" i="1"/>
  <c r="G662" i="1"/>
  <c r="I662" i="1" s="1"/>
  <c r="E646" i="1"/>
  <c r="G646" i="1"/>
  <c r="I646" i="1" s="1"/>
  <c r="E638" i="1"/>
  <c r="G638" i="1"/>
  <c r="I638" i="1" s="1"/>
  <c r="E622" i="1"/>
  <c r="G622" i="1"/>
  <c r="I622" i="1" s="1"/>
  <c r="E606" i="1"/>
  <c r="G606" i="1"/>
  <c r="I606" i="1" s="1"/>
  <c r="E406" i="1"/>
  <c r="G406" i="1"/>
  <c r="I406" i="1" s="1"/>
  <c r="E997" i="1"/>
  <c r="G997" i="1"/>
  <c r="I997" i="1" s="1"/>
  <c r="E989" i="1"/>
  <c r="G989" i="1"/>
  <c r="I989" i="1" s="1"/>
  <c r="E981" i="1"/>
  <c r="G981" i="1"/>
  <c r="I981" i="1" s="1"/>
  <c r="E973" i="1"/>
  <c r="G973" i="1"/>
  <c r="I973" i="1" s="1"/>
  <c r="E965" i="1"/>
  <c r="G965" i="1"/>
  <c r="I965" i="1" s="1"/>
  <c r="E957" i="1"/>
  <c r="G957" i="1"/>
  <c r="I957" i="1" s="1"/>
  <c r="E949" i="1"/>
  <c r="G949" i="1"/>
  <c r="I949" i="1" s="1"/>
  <c r="E941" i="1"/>
  <c r="G941" i="1"/>
  <c r="I941" i="1" s="1"/>
  <c r="E933" i="1"/>
  <c r="G933" i="1"/>
  <c r="I933" i="1" s="1"/>
  <c r="E925" i="1"/>
  <c r="G925" i="1"/>
  <c r="I925" i="1" s="1"/>
  <c r="E917" i="1"/>
  <c r="G917" i="1"/>
  <c r="I917" i="1" s="1"/>
  <c r="E909" i="1"/>
  <c r="G909" i="1"/>
  <c r="I909" i="1" s="1"/>
  <c r="E901" i="1"/>
  <c r="G901" i="1"/>
  <c r="I901" i="1" s="1"/>
  <c r="E893" i="1"/>
  <c r="G893" i="1"/>
  <c r="I893" i="1" s="1"/>
  <c r="E885" i="1"/>
  <c r="G885" i="1"/>
  <c r="I885" i="1" s="1"/>
  <c r="E877" i="1"/>
  <c r="G877" i="1"/>
  <c r="I877" i="1" s="1"/>
  <c r="E869" i="1"/>
  <c r="G869" i="1"/>
  <c r="I869" i="1" s="1"/>
  <c r="E861" i="1"/>
  <c r="G861" i="1"/>
  <c r="I861" i="1" s="1"/>
  <c r="E996" i="1"/>
  <c r="G996" i="1"/>
  <c r="I996" i="1" s="1"/>
  <c r="E972" i="1"/>
  <c r="G972" i="1"/>
  <c r="I972" i="1" s="1"/>
  <c r="E964" i="1"/>
  <c r="G964" i="1"/>
  <c r="I964" i="1" s="1"/>
  <c r="E948" i="1"/>
  <c r="G948" i="1"/>
  <c r="I948" i="1" s="1"/>
  <c r="E932" i="1"/>
  <c r="G932" i="1"/>
  <c r="I932" i="1" s="1"/>
  <c r="E908" i="1"/>
  <c r="G908" i="1"/>
  <c r="I908" i="1" s="1"/>
  <c r="E892" i="1"/>
  <c r="G892" i="1"/>
  <c r="I892" i="1" s="1"/>
  <c r="E884" i="1"/>
  <c r="G884" i="1"/>
  <c r="I884" i="1" s="1"/>
  <c r="E868" i="1"/>
  <c r="G868" i="1"/>
  <c r="I868" i="1" s="1"/>
  <c r="E852" i="1"/>
  <c r="G852" i="1"/>
  <c r="I852" i="1" s="1"/>
  <c r="E828" i="1"/>
  <c r="G828" i="1"/>
  <c r="I828" i="1" s="1"/>
  <c r="E812" i="1"/>
  <c r="G812" i="1"/>
  <c r="I812" i="1" s="1"/>
  <c r="E796" i="1"/>
  <c r="G796" i="1"/>
  <c r="I796" i="1" s="1"/>
  <c r="E780" i="1"/>
  <c r="G780" i="1"/>
  <c r="I780" i="1" s="1"/>
  <c r="E764" i="1"/>
  <c r="G764" i="1"/>
  <c r="I764" i="1" s="1"/>
  <c r="E748" i="1"/>
  <c r="G748" i="1"/>
  <c r="I748" i="1" s="1"/>
  <c r="E732" i="1"/>
  <c r="G732" i="1"/>
  <c r="I732" i="1" s="1"/>
  <c r="E716" i="1"/>
  <c r="G716" i="1"/>
  <c r="I716" i="1" s="1"/>
  <c r="E692" i="1"/>
  <c r="G692" i="1"/>
  <c r="I692" i="1" s="1"/>
  <c r="E676" i="1"/>
  <c r="G676" i="1"/>
  <c r="I676" i="1" s="1"/>
  <c r="E660" i="1"/>
  <c r="G660" i="1"/>
  <c r="I660" i="1" s="1"/>
  <c r="E644" i="1"/>
  <c r="G644" i="1"/>
  <c r="I644" i="1" s="1"/>
  <c r="E628" i="1"/>
  <c r="G628" i="1"/>
  <c r="I628" i="1" s="1"/>
  <c r="E612" i="1"/>
  <c r="G612" i="1"/>
  <c r="I612" i="1" s="1"/>
  <c r="E588" i="1"/>
  <c r="G588" i="1"/>
  <c r="I588" i="1" s="1"/>
  <c r="E572" i="1"/>
  <c r="G572" i="1"/>
  <c r="I572" i="1" s="1"/>
  <c r="E556" i="1"/>
  <c r="G556" i="1"/>
  <c r="I556" i="1" s="1"/>
  <c r="E540" i="1"/>
  <c r="G540" i="1"/>
  <c r="I540" i="1" s="1"/>
  <c r="E524" i="1"/>
  <c r="G524" i="1"/>
  <c r="I524" i="1" s="1"/>
  <c r="E508" i="1"/>
  <c r="G508" i="1"/>
  <c r="I508" i="1" s="1"/>
  <c r="E492" i="1"/>
  <c r="G492" i="1"/>
  <c r="I492" i="1" s="1"/>
  <c r="E484" i="1"/>
  <c r="G484" i="1"/>
  <c r="I484" i="1" s="1"/>
  <c r="E468" i="1"/>
  <c r="G468" i="1"/>
  <c r="I468" i="1" s="1"/>
  <c r="E452" i="1"/>
  <c r="G452" i="1"/>
  <c r="I452" i="1" s="1"/>
  <c r="E436" i="1"/>
  <c r="G436" i="1"/>
  <c r="I436" i="1" s="1"/>
  <c r="E428" i="1"/>
  <c r="G428" i="1"/>
  <c r="I428" i="1" s="1"/>
  <c r="E412" i="1"/>
  <c r="G412" i="1"/>
  <c r="I412" i="1" s="1"/>
  <c r="E396" i="1"/>
  <c r="G396" i="1"/>
  <c r="I396" i="1" s="1"/>
  <c r="E380" i="1"/>
  <c r="G380" i="1"/>
  <c r="I380" i="1" s="1"/>
  <c r="E364" i="1"/>
  <c r="G364" i="1"/>
  <c r="I364" i="1" s="1"/>
  <c r="E348" i="1"/>
  <c r="G348" i="1"/>
  <c r="I348" i="1" s="1"/>
  <c r="E340" i="1"/>
  <c r="G340" i="1"/>
  <c r="I340" i="1" s="1"/>
  <c r="E324" i="1"/>
  <c r="G324" i="1"/>
  <c r="I324" i="1" s="1"/>
  <c r="E308" i="1"/>
  <c r="G308" i="1"/>
  <c r="I308" i="1" s="1"/>
  <c r="E292" i="1"/>
  <c r="G292" i="1"/>
  <c r="I292" i="1" s="1"/>
  <c r="E276" i="1"/>
  <c r="G276" i="1"/>
  <c r="I276" i="1" s="1"/>
  <c r="E260" i="1"/>
  <c r="G260" i="1"/>
  <c r="I260" i="1" s="1"/>
  <c r="E252" i="1"/>
  <c r="G252" i="1"/>
  <c r="I252" i="1" s="1"/>
  <c r="E236" i="1"/>
  <c r="G236" i="1"/>
  <c r="I236" i="1" s="1"/>
  <c r="E212" i="1"/>
  <c r="G212" i="1"/>
  <c r="I212" i="1" s="1"/>
  <c r="E196" i="1"/>
  <c r="G196" i="1"/>
  <c r="I196" i="1" s="1"/>
  <c r="E180" i="1"/>
  <c r="G180" i="1"/>
  <c r="I180" i="1" s="1"/>
  <c r="E164" i="1"/>
  <c r="G164" i="1"/>
  <c r="I164" i="1" s="1"/>
  <c r="E148" i="1"/>
  <c r="G148" i="1"/>
  <c r="I148" i="1" s="1"/>
  <c r="E132" i="1"/>
  <c r="G132" i="1"/>
  <c r="I132" i="1" s="1"/>
  <c r="E116" i="1"/>
  <c r="G116" i="1"/>
  <c r="I116" i="1" s="1"/>
  <c r="E100" i="1"/>
  <c r="G100" i="1"/>
  <c r="I100" i="1" s="1"/>
  <c r="E84" i="1"/>
  <c r="G84" i="1"/>
  <c r="I84" i="1" s="1"/>
  <c r="E68" i="1"/>
  <c r="G68" i="1"/>
  <c r="I68" i="1" s="1"/>
  <c r="E52" i="1"/>
  <c r="G52" i="1"/>
  <c r="I52" i="1" s="1"/>
  <c r="E36" i="1"/>
  <c r="G36" i="1"/>
  <c r="I36" i="1" s="1"/>
  <c r="E20" i="1"/>
  <c r="G20" i="1"/>
  <c r="I20" i="1" s="1"/>
  <c r="E4" i="1"/>
  <c r="G4" i="1"/>
  <c r="I4" i="1" s="1"/>
  <c r="E853" i="1"/>
  <c r="G853" i="1"/>
  <c r="I853" i="1" s="1"/>
  <c r="E845" i="1"/>
  <c r="G845" i="1"/>
  <c r="I845" i="1" s="1"/>
  <c r="E837" i="1"/>
  <c r="G837" i="1"/>
  <c r="I837" i="1" s="1"/>
  <c r="E829" i="1"/>
  <c r="G829" i="1"/>
  <c r="I829" i="1" s="1"/>
  <c r="E821" i="1"/>
  <c r="G821" i="1"/>
  <c r="I821" i="1" s="1"/>
  <c r="E813" i="1"/>
  <c r="G813" i="1"/>
  <c r="I813" i="1" s="1"/>
  <c r="E805" i="1"/>
  <c r="G805" i="1"/>
  <c r="I805" i="1" s="1"/>
  <c r="E797" i="1"/>
  <c r="G797" i="1"/>
  <c r="I797" i="1" s="1"/>
  <c r="E789" i="1"/>
  <c r="G789" i="1"/>
  <c r="I789" i="1" s="1"/>
  <c r="E781" i="1"/>
  <c r="G781" i="1"/>
  <c r="I781" i="1" s="1"/>
  <c r="E773" i="1"/>
  <c r="G773" i="1"/>
  <c r="I773" i="1" s="1"/>
  <c r="E765" i="1"/>
  <c r="G765" i="1"/>
  <c r="I765" i="1" s="1"/>
  <c r="E757" i="1"/>
  <c r="G757" i="1"/>
  <c r="I757" i="1" s="1"/>
  <c r="E749" i="1"/>
  <c r="G749" i="1"/>
  <c r="I749" i="1" s="1"/>
  <c r="E741" i="1"/>
  <c r="G741" i="1"/>
  <c r="I741" i="1" s="1"/>
  <c r="E733" i="1"/>
  <c r="G733" i="1"/>
  <c r="I733" i="1" s="1"/>
  <c r="E725" i="1"/>
  <c r="G725" i="1"/>
  <c r="I725" i="1" s="1"/>
  <c r="E717" i="1"/>
  <c r="G717" i="1"/>
  <c r="I717" i="1" s="1"/>
  <c r="E709" i="1"/>
  <c r="G709" i="1"/>
  <c r="I709" i="1" s="1"/>
  <c r="E701" i="1"/>
  <c r="G701" i="1"/>
  <c r="I701" i="1" s="1"/>
  <c r="E693" i="1"/>
  <c r="G693" i="1"/>
  <c r="I693" i="1" s="1"/>
  <c r="E685" i="1"/>
  <c r="G685" i="1"/>
  <c r="I685" i="1" s="1"/>
  <c r="E677" i="1"/>
  <c r="G677" i="1"/>
  <c r="I677" i="1" s="1"/>
  <c r="E669" i="1"/>
  <c r="G669" i="1"/>
  <c r="I669" i="1" s="1"/>
  <c r="E661" i="1"/>
  <c r="G661" i="1"/>
  <c r="I661" i="1" s="1"/>
  <c r="E653" i="1"/>
  <c r="G653" i="1"/>
  <c r="I653" i="1" s="1"/>
  <c r="E645" i="1"/>
  <c r="G645" i="1"/>
  <c r="I645" i="1" s="1"/>
  <c r="E637" i="1"/>
  <c r="G637" i="1"/>
  <c r="I637" i="1" s="1"/>
  <c r="E629" i="1"/>
  <c r="G629" i="1"/>
  <c r="I629" i="1" s="1"/>
  <c r="E621" i="1"/>
  <c r="G621" i="1"/>
  <c r="I621" i="1" s="1"/>
  <c r="E613" i="1"/>
  <c r="G613" i="1"/>
  <c r="I613" i="1" s="1"/>
  <c r="E605" i="1"/>
  <c r="G605" i="1"/>
  <c r="I605" i="1" s="1"/>
  <c r="E597" i="1"/>
  <c r="G597" i="1"/>
  <c r="I597" i="1" s="1"/>
  <c r="E589" i="1"/>
  <c r="G589" i="1"/>
  <c r="I589" i="1" s="1"/>
  <c r="E581" i="1"/>
  <c r="G581" i="1"/>
  <c r="I581" i="1" s="1"/>
  <c r="E573" i="1"/>
  <c r="G573" i="1"/>
  <c r="I573" i="1" s="1"/>
  <c r="E565" i="1"/>
  <c r="G565" i="1"/>
  <c r="I565" i="1" s="1"/>
  <c r="E557" i="1"/>
  <c r="G557" i="1"/>
  <c r="I557" i="1" s="1"/>
  <c r="E549" i="1"/>
  <c r="G549" i="1"/>
  <c r="I549" i="1" s="1"/>
  <c r="E541" i="1"/>
  <c r="G541" i="1"/>
  <c r="I541" i="1" s="1"/>
  <c r="E533" i="1"/>
  <c r="G533" i="1"/>
  <c r="I533" i="1" s="1"/>
  <c r="E525" i="1"/>
  <c r="G525" i="1"/>
  <c r="I525" i="1" s="1"/>
  <c r="E517" i="1"/>
  <c r="G517" i="1"/>
  <c r="I517" i="1" s="1"/>
  <c r="E509" i="1"/>
  <c r="G509" i="1"/>
  <c r="I509" i="1" s="1"/>
  <c r="E501" i="1"/>
  <c r="G501" i="1"/>
  <c r="I501" i="1" s="1"/>
  <c r="E493" i="1"/>
  <c r="G493" i="1"/>
  <c r="I493" i="1" s="1"/>
  <c r="E485" i="1"/>
  <c r="G485" i="1"/>
  <c r="I485" i="1" s="1"/>
  <c r="E477" i="1"/>
  <c r="G477" i="1"/>
  <c r="I477" i="1" s="1"/>
  <c r="E469" i="1"/>
  <c r="G469" i="1"/>
  <c r="I469" i="1" s="1"/>
  <c r="E461" i="1"/>
  <c r="G461" i="1"/>
  <c r="I461" i="1" s="1"/>
  <c r="E453" i="1"/>
  <c r="G453" i="1"/>
  <c r="I453" i="1" s="1"/>
  <c r="E445" i="1"/>
  <c r="G445" i="1"/>
  <c r="I445" i="1" s="1"/>
  <c r="E437" i="1"/>
  <c r="G437" i="1"/>
  <c r="I437" i="1" s="1"/>
  <c r="E429" i="1"/>
  <c r="G429" i="1"/>
  <c r="I429" i="1" s="1"/>
  <c r="E421" i="1"/>
  <c r="G421" i="1"/>
  <c r="I421" i="1" s="1"/>
  <c r="E413" i="1"/>
  <c r="G413" i="1"/>
  <c r="I413" i="1" s="1"/>
  <c r="E405" i="1"/>
  <c r="G405" i="1"/>
  <c r="I405" i="1" s="1"/>
  <c r="E397" i="1"/>
  <c r="G397" i="1"/>
  <c r="I397" i="1" s="1"/>
  <c r="E389" i="1"/>
  <c r="G389" i="1"/>
  <c r="I389" i="1" s="1"/>
  <c r="E381" i="1"/>
  <c r="G381" i="1"/>
  <c r="I381" i="1" s="1"/>
  <c r="E373" i="1"/>
  <c r="G373" i="1"/>
  <c r="I373" i="1" s="1"/>
  <c r="E365" i="1"/>
  <c r="G365" i="1"/>
  <c r="I365" i="1" s="1"/>
  <c r="E357" i="1"/>
  <c r="G357" i="1"/>
  <c r="I357" i="1" s="1"/>
  <c r="E349" i="1"/>
  <c r="G349" i="1"/>
  <c r="I349" i="1" s="1"/>
  <c r="E341" i="1"/>
  <c r="G341" i="1"/>
  <c r="I341" i="1" s="1"/>
  <c r="E333" i="1"/>
  <c r="G333" i="1"/>
  <c r="I333" i="1" s="1"/>
  <c r="E325" i="1"/>
  <c r="G325" i="1"/>
  <c r="I325" i="1" s="1"/>
  <c r="E317" i="1"/>
  <c r="G317" i="1"/>
  <c r="I317" i="1" s="1"/>
  <c r="E309" i="1"/>
  <c r="G309" i="1"/>
  <c r="I309" i="1" s="1"/>
  <c r="E301" i="1"/>
  <c r="G301" i="1"/>
  <c r="I301" i="1" s="1"/>
  <c r="E293" i="1"/>
  <c r="G293" i="1"/>
  <c r="I293" i="1" s="1"/>
  <c r="E285" i="1"/>
  <c r="G285" i="1"/>
  <c r="I285" i="1" s="1"/>
  <c r="E277" i="1"/>
  <c r="G277" i="1"/>
  <c r="I277" i="1" s="1"/>
  <c r="E269" i="1"/>
  <c r="G269" i="1"/>
  <c r="I269" i="1" s="1"/>
  <c r="E261" i="1"/>
  <c r="G261" i="1"/>
  <c r="I261" i="1" s="1"/>
  <c r="E253" i="1"/>
  <c r="G253" i="1"/>
  <c r="I253" i="1" s="1"/>
  <c r="E245" i="1"/>
  <c r="G245" i="1"/>
  <c r="I245" i="1" s="1"/>
  <c r="E237" i="1"/>
  <c r="G237" i="1"/>
  <c r="I237" i="1" s="1"/>
  <c r="E229" i="1"/>
  <c r="G229" i="1"/>
  <c r="I229" i="1" s="1"/>
  <c r="E221" i="1"/>
  <c r="G221" i="1"/>
  <c r="I221" i="1" s="1"/>
  <c r="E213" i="1"/>
  <c r="G213" i="1"/>
  <c r="I213" i="1" s="1"/>
  <c r="E205" i="1"/>
  <c r="G205" i="1"/>
  <c r="I205" i="1" s="1"/>
  <c r="E197" i="1"/>
  <c r="G197" i="1"/>
  <c r="I197" i="1" s="1"/>
  <c r="E189" i="1"/>
  <c r="G189" i="1"/>
  <c r="I189" i="1" s="1"/>
  <c r="E181" i="1"/>
  <c r="G181" i="1"/>
  <c r="I181" i="1" s="1"/>
  <c r="E173" i="1"/>
  <c r="G173" i="1"/>
  <c r="I173" i="1" s="1"/>
  <c r="E165" i="1"/>
  <c r="G165" i="1"/>
  <c r="I165" i="1" s="1"/>
  <c r="E157" i="1"/>
  <c r="G157" i="1"/>
  <c r="I157" i="1" s="1"/>
  <c r="E149" i="1"/>
  <c r="G149" i="1"/>
  <c r="I149" i="1" s="1"/>
  <c r="E141" i="1"/>
  <c r="G141" i="1"/>
  <c r="I141" i="1" s="1"/>
  <c r="E133" i="1"/>
  <c r="G133" i="1"/>
  <c r="I133" i="1" s="1"/>
  <c r="E125" i="1"/>
  <c r="G125" i="1"/>
  <c r="I125" i="1" s="1"/>
  <c r="E117" i="1"/>
  <c r="G117" i="1"/>
  <c r="I117" i="1" s="1"/>
  <c r="E109" i="1"/>
  <c r="G109" i="1"/>
  <c r="I109" i="1" s="1"/>
  <c r="E101" i="1"/>
  <c r="G101" i="1"/>
  <c r="I101" i="1" s="1"/>
  <c r="E93" i="1"/>
  <c r="G93" i="1"/>
  <c r="I93" i="1" s="1"/>
  <c r="E85" i="1"/>
  <c r="G85" i="1"/>
  <c r="I85" i="1" s="1"/>
  <c r="E77" i="1"/>
  <c r="G77" i="1"/>
  <c r="I77" i="1" s="1"/>
  <c r="E69" i="1"/>
  <c r="G69" i="1"/>
  <c r="I69" i="1" s="1"/>
  <c r="E61" i="1"/>
  <c r="G61" i="1"/>
  <c r="I61" i="1" s="1"/>
  <c r="E53" i="1"/>
  <c r="G53" i="1"/>
  <c r="I53" i="1" s="1"/>
  <c r="E45" i="1"/>
  <c r="G45" i="1"/>
  <c r="I45" i="1" s="1"/>
  <c r="E37" i="1"/>
  <c r="G37" i="1"/>
  <c r="I37" i="1" s="1"/>
  <c r="E29" i="1"/>
  <c r="G29" i="1"/>
  <c r="I29" i="1" s="1"/>
  <c r="E21" i="1"/>
  <c r="G21" i="1"/>
  <c r="I21" i="1" s="1"/>
  <c r="E13" i="1"/>
  <c r="G13" i="1"/>
  <c r="I13" i="1" s="1"/>
  <c r="E5" i="1"/>
  <c r="G5" i="1"/>
  <c r="I5" i="1" s="1"/>
  <c r="G931" i="1"/>
  <c r="I931" i="1" s="1"/>
  <c r="G922" i="1"/>
  <c r="I922" i="1" s="1"/>
  <c r="G913" i="1"/>
  <c r="I913" i="1" s="1"/>
  <c r="G904" i="1"/>
  <c r="I904" i="1" s="1"/>
  <c r="G895" i="1"/>
  <c r="I895" i="1" s="1"/>
  <c r="G874" i="1"/>
  <c r="I874" i="1" s="1"/>
  <c r="G864" i="1"/>
  <c r="I864" i="1" s="1"/>
  <c r="G842" i="1"/>
  <c r="I842" i="1" s="1"/>
  <c r="G832" i="1"/>
  <c r="I832" i="1" s="1"/>
  <c r="G810" i="1"/>
  <c r="I810" i="1" s="1"/>
  <c r="G800" i="1"/>
  <c r="I800" i="1" s="1"/>
  <c r="G778" i="1"/>
  <c r="I778" i="1" s="1"/>
  <c r="G768" i="1"/>
  <c r="I768" i="1" s="1"/>
  <c r="G746" i="1"/>
  <c r="I746" i="1" s="1"/>
  <c r="G736" i="1"/>
  <c r="I736" i="1" s="1"/>
  <c r="G714" i="1"/>
  <c r="I714" i="1" s="1"/>
  <c r="G704" i="1"/>
  <c r="I704" i="1" s="1"/>
  <c r="G682" i="1"/>
  <c r="I682" i="1" s="1"/>
  <c r="G671" i="1"/>
  <c r="I671" i="1" s="1"/>
  <c r="G656" i="1"/>
  <c r="I656" i="1" s="1"/>
  <c r="G634" i="1"/>
  <c r="I634" i="1" s="1"/>
  <c r="G610" i="1"/>
  <c r="I610" i="1" s="1"/>
  <c r="G570" i="1"/>
  <c r="I570" i="1" s="1"/>
  <c r="G528" i="1"/>
  <c r="I528" i="1" s="1"/>
  <c r="G442" i="1"/>
  <c r="I442" i="1" s="1"/>
  <c r="G400" i="1"/>
  <c r="I400" i="1" s="1"/>
  <c r="G314" i="1"/>
  <c r="I314" i="1" s="1"/>
  <c r="G264" i="1"/>
  <c r="I264" i="1" s="1"/>
  <c r="G162" i="1"/>
  <c r="I162" i="1" s="1"/>
  <c r="G111" i="1"/>
  <c r="I111" i="1" s="1"/>
  <c r="G59" i="1"/>
  <c r="I59" i="1" s="1"/>
  <c r="G995" i="1"/>
  <c r="I995" i="1" s="1"/>
  <c r="G987" i="1"/>
  <c r="I987" i="1" s="1"/>
  <c r="G979" i="1"/>
  <c r="I979" i="1" s="1"/>
  <c r="G971" i="1"/>
  <c r="I971" i="1" s="1"/>
  <c r="G963" i="1"/>
  <c r="I963" i="1" s="1"/>
  <c r="G955" i="1"/>
  <c r="I955" i="1" s="1"/>
  <c r="G947" i="1"/>
  <c r="I947" i="1" s="1"/>
  <c r="G939" i="1"/>
  <c r="I939" i="1" s="1"/>
  <c r="G930" i="1"/>
  <c r="I930" i="1" s="1"/>
  <c r="G921" i="1"/>
  <c r="I921" i="1" s="1"/>
  <c r="G912" i="1"/>
  <c r="I912" i="1" s="1"/>
  <c r="G903" i="1"/>
  <c r="I903" i="1" s="1"/>
  <c r="G883" i="1"/>
  <c r="I883" i="1" s="1"/>
  <c r="G873" i="1"/>
  <c r="I873" i="1" s="1"/>
  <c r="G863" i="1"/>
  <c r="I863" i="1" s="1"/>
  <c r="G851" i="1"/>
  <c r="I851" i="1" s="1"/>
  <c r="G841" i="1"/>
  <c r="I841" i="1" s="1"/>
  <c r="G831" i="1"/>
  <c r="I831" i="1" s="1"/>
  <c r="G819" i="1"/>
  <c r="I819" i="1" s="1"/>
  <c r="G809" i="1"/>
  <c r="I809" i="1" s="1"/>
  <c r="G799" i="1"/>
  <c r="I799" i="1" s="1"/>
  <c r="G787" i="1"/>
  <c r="I787" i="1" s="1"/>
  <c r="G777" i="1"/>
  <c r="I777" i="1" s="1"/>
  <c r="G767" i="1"/>
  <c r="I767" i="1" s="1"/>
  <c r="G755" i="1"/>
  <c r="I755" i="1" s="1"/>
  <c r="G745" i="1"/>
  <c r="I745" i="1" s="1"/>
  <c r="G735" i="1"/>
  <c r="I735" i="1" s="1"/>
  <c r="G723" i="1"/>
  <c r="I723" i="1" s="1"/>
  <c r="G713" i="1"/>
  <c r="I713" i="1" s="1"/>
  <c r="G703" i="1"/>
  <c r="I703" i="1" s="1"/>
  <c r="G691" i="1"/>
  <c r="I691" i="1" s="1"/>
  <c r="G681" i="1"/>
  <c r="I681" i="1" s="1"/>
  <c r="G655" i="1"/>
  <c r="I655" i="1" s="1"/>
  <c r="G633" i="1"/>
  <c r="I633" i="1" s="1"/>
  <c r="G602" i="1"/>
  <c r="I602" i="1" s="1"/>
  <c r="G569" i="1"/>
  <c r="I569" i="1" s="1"/>
  <c r="G527" i="1"/>
  <c r="I527" i="1" s="1"/>
  <c r="G483" i="1"/>
  <c r="I483" i="1" s="1"/>
  <c r="G441" i="1"/>
  <c r="I441" i="1" s="1"/>
  <c r="G399" i="1"/>
  <c r="I399" i="1" s="1"/>
  <c r="G355" i="1"/>
  <c r="I355" i="1" s="1"/>
  <c r="G313" i="1"/>
  <c r="I313" i="1" s="1"/>
  <c r="G263" i="1"/>
  <c r="I263" i="1" s="1"/>
  <c r="G211" i="1"/>
  <c r="I211" i="1" s="1"/>
  <c r="G160" i="1"/>
  <c r="I160" i="1" s="1"/>
  <c r="G58" i="1"/>
  <c r="I58" i="1" s="1"/>
  <c r="E667" i="1"/>
  <c r="G667" i="1"/>
  <c r="I667" i="1" s="1"/>
  <c r="E635" i="1"/>
  <c r="G635" i="1"/>
  <c r="I635" i="1" s="1"/>
  <c r="E627" i="1"/>
  <c r="G627" i="1"/>
  <c r="I627" i="1" s="1"/>
  <c r="E619" i="1"/>
  <c r="G619" i="1"/>
  <c r="I619" i="1" s="1"/>
  <c r="E603" i="1"/>
  <c r="G603" i="1"/>
  <c r="I603" i="1" s="1"/>
  <c r="E595" i="1"/>
  <c r="G595" i="1"/>
  <c r="I595" i="1" s="1"/>
  <c r="E587" i="1"/>
  <c r="G587" i="1"/>
  <c r="I587" i="1" s="1"/>
  <c r="E571" i="1"/>
  <c r="G571" i="1"/>
  <c r="I571" i="1" s="1"/>
  <c r="E563" i="1"/>
  <c r="G563" i="1"/>
  <c r="I563" i="1" s="1"/>
  <c r="E555" i="1"/>
  <c r="G555" i="1"/>
  <c r="I555" i="1" s="1"/>
  <c r="E539" i="1"/>
  <c r="G539" i="1"/>
  <c r="I539" i="1" s="1"/>
  <c r="E531" i="1"/>
  <c r="G531" i="1"/>
  <c r="I531" i="1" s="1"/>
  <c r="E523" i="1"/>
  <c r="G523" i="1"/>
  <c r="I523" i="1" s="1"/>
  <c r="E507" i="1"/>
  <c r="G507" i="1"/>
  <c r="I507" i="1" s="1"/>
  <c r="E499" i="1"/>
  <c r="G499" i="1"/>
  <c r="I499" i="1" s="1"/>
  <c r="E491" i="1"/>
  <c r="G491" i="1"/>
  <c r="I491" i="1" s="1"/>
  <c r="E475" i="1"/>
  <c r="G475" i="1"/>
  <c r="I475" i="1" s="1"/>
  <c r="E467" i="1"/>
  <c r="G467" i="1"/>
  <c r="I467" i="1" s="1"/>
  <c r="E459" i="1"/>
  <c r="G459" i="1"/>
  <c r="I459" i="1" s="1"/>
  <c r="E443" i="1"/>
  <c r="G443" i="1"/>
  <c r="I443" i="1" s="1"/>
  <c r="E435" i="1"/>
  <c r="G435" i="1"/>
  <c r="I435" i="1" s="1"/>
  <c r="E427" i="1"/>
  <c r="G427" i="1"/>
  <c r="I427" i="1" s="1"/>
  <c r="E411" i="1"/>
  <c r="G411" i="1"/>
  <c r="I411" i="1" s="1"/>
  <c r="E403" i="1"/>
  <c r="G403" i="1"/>
  <c r="I403" i="1" s="1"/>
  <c r="E395" i="1"/>
  <c r="G395" i="1"/>
  <c r="I395" i="1" s="1"/>
  <c r="E379" i="1"/>
  <c r="G379" i="1"/>
  <c r="I379" i="1" s="1"/>
  <c r="E371" i="1"/>
  <c r="G371" i="1"/>
  <c r="I371" i="1" s="1"/>
  <c r="E363" i="1"/>
  <c r="G363" i="1"/>
  <c r="I363" i="1" s="1"/>
  <c r="E347" i="1"/>
  <c r="G347" i="1"/>
  <c r="I347" i="1" s="1"/>
  <c r="E339" i="1"/>
  <c r="G339" i="1"/>
  <c r="I339" i="1" s="1"/>
  <c r="E331" i="1"/>
  <c r="G331" i="1"/>
  <c r="I331" i="1" s="1"/>
  <c r="E315" i="1"/>
  <c r="G315" i="1"/>
  <c r="I315" i="1" s="1"/>
  <c r="E307" i="1"/>
  <c r="G307" i="1"/>
  <c r="I307" i="1" s="1"/>
  <c r="E299" i="1"/>
  <c r="G299" i="1"/>
  <c r="I299" i="1" s="1"/>
  <c r="E291" i="1"/>
  <c r="G291" i="1"/>
  <c r="I291" i="1" s="1"/>
  <c r="E283" i="1"/>
  <c r="G283" i="1"/>
  <c r="I283" i="1" s="1"/>
  <c r="E267" i="1"/>
  <c r="G267" i="1"/>
  <c r="I267" i="1" s="1"/>
  <c r="E259" i="1"/>
  <c r="G259" i="1"/>
  <c r="I259" i="1" s="1"/>
  <c r="E243" i="1"/>
  <c r="G243" i="1"/>
  <c r="I243" i="1" s="1"/>
  <c r="E235" i="1"/>
  <c r="G235" i="1"/>
  <c r="I235" i="1" s="1"/>
  <c r="E227" i="1"/>
  <c r="G227" i="1"/>
  <c r="I227" i="1" s="1"/>
  <c r="E219" i="1"/>
  <c r="G219" i="1"/>
  <c r="I219" i="1" s="1"/>
  <c r="E203" i="1"/>
  <c r="G203" i="1"/>
  <c r="I203" i="1" s="1"/>
  <c r="E195" i="1"/>
  <c r="G195" i="1"/>
  <c r="I195" i="1" s="1"/>
  <c r="E179" i="1"/>
  <c r="G179" i="1"/>
  <c r="I179" i="1" s="1"/>
  <c r="E171" i="1"/>
  <c r="G171" i="1"/>
  <c r="I171" i="1" s="1"/>
  <c r="E163" i="1"/>
  <c r="G163" i="1"/>
  <c r="I163" i="1" s="1"/>
  <c r="E155" i="1"/>
  <c r="G155" i="1"/>
  <c r="I155" i="1" s="1"/>
  <c r="E139" i="1"/>
  <c r="G139" i="1"/>
  <c r="I139" i="1" s="1"/>
  <c r="E131" i="1"/>
  <c r="G131" i="1"/>
  <c r="I131" i="1" s="1"/>
  <c r="E115" i="1"/>
  <c r="G115" i="1"/>
  <c r="I115" i="1" s="1"/>
  <c r="E107" i="1"/>
  <c r="G107" i="1"/>
  <c r="I107" i="1" s="1"/>
  <c r="E99" i="1"/>
  <c r="G99" i="1"/>
  <c r="I99" i="1" s="1"/>
  <c r="E91" i="1"/>
  <c r="G91" i="1"/>
  <c r="I91" i="1" s="1"/>
  <c r="E75" i="1"/>
  <c r="G75" i="1"/>
  <c r="I75" i="1" s="1"/>
  <c r="E67" i="1"/>
  <c r="G67" i="1"/>
  <c r="I67" i="1" s="1"/>
  <c r="E51" i="1"/>
  <c r="G51" i="1"/>
  <c r="I51" i="1" s="1"/>
  <c r="E43" i="1"/>
  <c r="G43" i="1"/>
  <c r="I43" i="1" s="1"/>
  <c r="E35" i="1"/>
  <c r="G35" i="1"/>
  <c r="I35" i="1" s="1"/>
  <c r="E27" i="1"/>
  <c r="G27" i="1"/>
  <c r="I27" i="1" s="1"/>
  <c r="E11" i="1"/>
  <c r="G11" i="1"/>
  <c r="I11" i="1" s="1"/>
  <c r="G1002" i="1"/>
  <c r="I1002" i="1" s="1"/>
  <c r="G994" i="1"/>
  <c r="I994" i="1" s="1"/>
  <c r="G986" i="1"/>
  <c r="I986" i="1" s="1"/>
  <c r="G978" i="1"/>
  <c r="I978" i="1" s="1"/>
  <c r="G970" i="1"/>
  <c r="I970" i="1" s="1"/>
  <c r="G962" i="1"/>
  <c r="I962" i="1" s="1"/>
  <c r="G954" i="1"/>
  <c r="I954" i="1" s="1"/>
  <c r="G946" i="1"/>
  <c r="I946" i="1" s="1"/>
  <c r="G938" i="1"/>
  <c r="I938" i="1" s="1"/>
  <c r="G929" i="1"/>
  <c r="I929" i="1" s="1"/>
  <c r="G920" i="1"/>
  <c r="I920" i="1" s="1"/>
  <c r="G911" i="1"/>
  <c r="I911" i="1" s="1"/>
  <c r="G882" i="1"/>
  <c r="I882" i="1" s="1"/>
  <c r="G872" i="1"/>
  <c r="I872" i="1" s="1"/>
  <c r="G850" i="1"/>
  <c r="I850" i="1" s="1"/>
  <c r="G840" i="1"/>
  <c r="I840" i="1" s="1"/>
  <c r="G818" i="1"/>
  <c r="I818" i="1" s="1"/>
  <c r="G808" i="1"/>
  <c r="I808" i="1" s="1"/>
  <c r="G786" i="1"/>
  <c r="I786" i="1" s="1"/>
  <c r="G776" i="1"/>
  <c r="I776" i="1" s="1"/>
  <c r="G754" i="1"/>
  <c r="I754" i="1" s="1"/>
  <c r="G744" i="1"/>
  <c r="I744" i="1" s="1"/>
  <c r="G722" i="1"/>
  <c r="I722" i="1" s="1"/>
  <c r="G712" i="1"/>
  <c r="I712" i="1" s="1"/>
  <c r="G690" i="1"/>
  <c r="I690" i="1" s="1"/>
  <c r="G680" i="1"/>
  <c r="I680" i="1" s="1"/>
  <c r="G666" i="1"/>
  <c r="I666" i="1" s="1"/>
  <c r="G632" i="1"/>
  <c r="I632" i="1" s="1"/>
  <c r="G601" i="1"/>
  <c r="I601" i="1" s="1"/>
  <c r="G560" i="1"/>
  <c r="I560" i="1" s="1"/>
  <c r="G474" i="1"/>
  <c r="I474" i="1" s="1"/>
  <c r="G432" i="1"/>
  <c r="I432" i="1" s="1"/>
  <c r="G346" i="1"/>
  <c r="I346" i="1" s="1"/>
  <c r="G303" i="1"/>
  <c r="I303" i="1" s="1"/>
  <c r="G251" i="1"/>
  <c r="I251" i="1" s="1"/>
  <c r="G200" i="1"/>
  <c r="I200" i="1" s="1"/>
  <c r="G98" i="1"/>
  <c r="I98" i="1" s="1"/>
  <c r="G47" i="1"/>
  <c r="I47" i="1" s="1"/>
  <c r="E658" i="1"/>
  <c r="G658" i="1"/>
  <c r="I658" i="1" s="1"/>
  <c r="E650" i="1"/>
  <c r="G650" i="1"/>
  <c r="I650" i="1" s="1"/>
  <c r="E626" i="1"/>
  <c r="G626" i="1"/>
  <c r="I626" i="1" s="1"/>
  <c r="E618" i="1"/>
  <c r="G618" i="1"/>
  <c r="I618" i="1" s="1"/>
  <c r="E594" i="1"/>
  <c r="G594" i="1"/>
  <c r="I594" i="1" s="1"/>
  <c r="E586" i="1"/>
  <c r="G586" i="1"/>
  <c r="I586" i="1" s="1"/>
  <c r="E578" i="1"/>
  <c r="G578" i="1"/>
  <c r="I578" i="1" s="1"/>
  <c r="E562" i="1"/>
  <c r="G562" i="1"/>
  <c r="I562" i="1" s="1"/>
  <c r="E554" i="1"/>
  <c r="G554" i="1"/>
  <c r="I554" i="1" s="1"/>
  <c r="E546" i="1"/>
  <c r="G546" i="1"/>
  <c r="I546" i="1" s="1"/>
  <c r="E530" i="1"/>
  <c r="G530" i="1"/>
  <c r="I530" i="1" s="1"/>
  <c r="E522" i="1"/>
  <c r="G522" i="1"/>
  <c r="I522" i="1" s="1"/>
  <c r="E514" i="1"/>
  <c r="G514" i="1"/>
  <c r="I514" i="1" s="1"/>
  <c r="E498" i="1"/>
  <c r="G498" i="1"/>
  <c r="I498" i="1" s="1"/>
  <c r="E490" i="1"/>
  <c r="G490" i="1"/>
  <c r="I490" i="1" s="1"/>
  <c r="E482" i="1"/>
  <c r="G482" i="1"/>
  <c r="I482" i="1" s="1"/>
  <c r="E466" i="1"/>
  <c r="G466" i="1"/>
  <c r="I466" i="1" s="1"/>
  <c r="E458" i="1"/>
  <c r="G458" i="1"/>
  <c r="I458" i="1" s="1"/>
  <c r="E450" i="1"/>
  <c r="G450" i="1"/>
  <c r="I450" i="1" s="1"/>
  <c r="E434" i="1"/>
  <c r="G434" i="1"/>
  <c r="I434" i="1" s="1"/>
  <c r="E426" i="1"/>
  <c r="G426" i="1"/>
  <c r="I426" i="1" s="1"/>
  <c r="E418" i="1"/>
  <c r="G418" i="1"/>
  <c r="I418" i="1" s="1"/>
  <c r="E402" i="1"/>
  <c r="G402" i="1"/>
  <c r="I402" i="1" s="1"/>
  <c r="E394" i="1"/>
  <c r="G394" i="1"/>
  <c r="I394" i="1" s="1"/>
  <c r="E386" i="1"/>
  <c r="G386" i="1"/>
  <c r="I386" i="1" s="1"/>
  <c r="E370" i="1"/>
  <c r="G370" i="1"/>
  <c r="I370" i="1" s="1"/>
  <c r="E362" i="1"/>
  <c r="G362" i="1"/>
  <c r="I362" i="1" s="1"/>
  <c r="E354" i="1"/>
  <c r="G354" i="1"/>
  <c r="I354" i="1" s="1"/>
  <c r="E338" i="1"/>
  <c r="G338" i="1"/>
  <c r="I338" i="1" s="1"/>
  <c r="E330" i="1"/>
  <c r="G330" i="1"/>
  <c r="I330" i="1" s="1"/>
  <c r="E322" i="1"/>
  <c r="G322" i="1"/>
  <c r="I322" i="1" s="1"/>
  <c r="E306" i="1"/>
  <c r="G306" i="1"/>
  <c r="I306" i="1" s="1"/>
  <c r="E298" i="1"/>
  <c r="G298" i="1"/>
  <c r="I298" i="1" s="1"/>
  <c r="E282" i="1"/>
  <c r="G282" i="1"/>
  <c r="I282" i="1" s="1"/>
  <c r="E274" i="1"/>
  <c r="G274" i="1"/>
  <c r="I274" i="1" s="1"/>
  <c r="E266" i="1"/>
  <c r="G266" i="1"/>
  <c r="I266" i="1" s="1"/>
  <c r="E258" i="1"/>
  <c r="G258" i="1"/>
  <c r="I258" i="1" s="1"/>
  <c r="E242" i="1"/>
  <c r="G242" i="1"/>
  <c r="I242" i="1" s="1"/>
  <c r="E234" i="1"/>
  <c r="G234" i="1"/>
  <c r="I234" i="1" s="1"/>
  <c r="E218" i="1"/>
  <c r="G218" i="1"/>
  <c r="I218" i="1" s="1"/>
  <c r="E210" i="1"/>
  <c r="G210" i="1"/>
  <c r="I210" i="1" s="1"/>
  <c r="E202" i="1"/>
  <c r="G202" i="1"/>
  <c r="I202" i="1" s="1"/>
  <c r="E194" i="1"/>
  <c r="G194" i="1"/>
  <c r="I194" i="1" s="1"/>
  <c r="E178" i="1"/>
  <c r="G178" i="1"/>
  <c r="I178" i="1" s="1"/>
  <c r="E170" i="1"/>
  <c r="G170" i="1"/>
  <c r="I170" i="1" s="1"/>
  <c r="E154" i="1"/>
  <c r="G154" i="1"/>
  <c r="I154" i="1" s="1"/>
  <c r="E146" i="1"/>
  <c r="G146" i="1"/>
  <c r="I146" i="1" s="1"/>
  <c r="E138" i="1"/>
  <c r="G138" i="1"/>
  <c r="I138" i="1" s="1"/>
  <c r="E130" i="1"/>
  <c r="G130" i="1"/>
  <c r="I130" i="1" s="1"/>
  <c r="E114" i="1"/>
  <c r="G114" i="1"/>
  <c r="I114" i="1" s="1"/>
  <c r="E106" i="1"/>
  <c r="G106" i="1"/>
  <c r="I106" i="1" s="1"/>
  <c r="E90" i="1"/>
  <c r="G90" i="1"/>
  <c r="I90" i="1" s="1"/>
  <c r="E82" i="1"/>
  <c r="G82" i="1"/>
  <c r="I82" i="1" s="1"/>
  <c r="E74" i="1"/>
  <c r="G74" i="1"/>
  <c r="I74" i="1" s="1"/>
  <c r="E66" i="1"/>
  <c r="G66" i="1"/>
  <c r="I66" i="1" s="1"/>
  <c r="E50" i="1"/>
  <c r="G50" i="1"/>
  <c r="I50" i="1" s="1"/>
  <c r="E42" i="1"/>
  <c r="G42" i="1"/>
  <c r="I42" i="1" s="1"/>
  <c r="E26" i="1"/>
  <c r="G26" i="1"/>
  <c r="I26" i="1" s="1"/>
  <c r="E18" i="1"/>
  <c r="G18" i="1"/>
  <c r="I18" i="1" s="1"/>
  <c r="E10" i="1"/>
  <c r="G10" i="1"/>
  <c r="I10" i="1" s="1"/>
  <c r="G1001" i="1"/>
  <c r="I1001" i="1" s="1"/>
  <c r="G993" i="1"/>
  <c r="I993" i="1" s="1"/>
  <c r="G985" i="1"/>
  <c r="I985" i="1" s="1"/>
  <c r="G977" i="1"/>
  <c r="I977" i="1" s="1"/>
  <c r="G969" i="1"/>
  <c r="I969" i="1" s="1"/>
  <c r="G961" i="1"/>
  <c r="I961" i="1" s="1"/>
  <c r="G953" i="1"/>
  <c r="I953" i="1" s="1"/>
  <c r="G945" i="1"/>
  <c r="I945" i="1" s="1"/>
  <c r="G937" i="1"/>
  <c r="I937" i="1" s="1"/>
  <c r="G928" i="1"/>
  <c r="I928" i="1" s="1"/>
  <c r="G919" i="1"/>
  <c r="I919" i="1" s="1"/>
  <c r="G891" i="1"/>
  <c r="I891" i="1" s="1"/>
  <c r="G881" i="1"/>
  <c r="I881" i="1" s="1"/>
  <c r="G871" i="1"/>
  <c r="I871" i="1" s="1"/>
  <c r="G859" i="1"/>
  <c r="I859" i="1" s="1"/>
  <c r="G849" i="1"/>
  <c r="I849" i="1" s="1"/>
  <c r="G839" i="1"/>
  <c r="I839" i="1" s="1"/>
  <c r="G827" i="1"/>
  <c r="I827" i="1" s="1"/>
  <c r="G817" i="1"/>
  <c r="I817" i="1" s="1"/>
  <c r="G807" i="1"/>
  <c r="I807" i="1" s="1"/>
  <c r="G795" i="1"/>
  <c r="I795" i="1" s="1"/>
  <c r="G785" i="1"/>
  <c r="I785" i="1" s="1"/>
  <c r="G775" i="1"/>
  <c r="I775" i="1" s="1"/>
  <c r="G763" i="1"/>
  <c r="I763" i="1" s="1"/>
  <c r="G753" i="1"/>
  <c r="I753" i="1" s="1"/>
  <c r="G743" i="1"/>
  <c r="I743" i="1" s="1"/>
  <c r="G731" i="1"/>
  <c r="I731" i="1" s="1"/>
  <c r="G721" i="1"/>
  <c r="I721" i="1" s="1"/>
  <c r="G711" i="1"/>
  <c r="I711" i="1" s="1"/>
  <c r="G699" i="1"/>
  <c r="I699" i="1" s="1"/>
  <c r="G689" i="1"/>
  <c r="I689" i="1" s="1"/>
  <c r="G679" i="1"/>
  <c r="I679" i="1" s="1"/>
  <c r="G665" i="1"/>
  <c r="I665" i="1" s="1"/>
  <c r="G651" i="1"/>
  <c r="I651" i="1" s="1"/>
  <c r="G624" i="1"/>
  <c r="I624" i="1" s="1"/>
  <c r="G600" i="1"/>
  <c r="I600" i="1" s="1"/>
  <c r="G559" i="1"/>
  <c r="I559" i="1" s="1"/>
  <c r="G515" i="1"/>
  <c r="I515" i="1" s="1"/>
  <c r="G473" i="1"/>
  <c r="I473" i="1" s="1"/>
  <c r="G431" i="1"/>
  <c r="I431" i="1" s="1"/>
  <c r="G387" i="1"/>
  <c r="I387" i="1" s="1"/>
  <c r="G345" i="1"/>
  <c r="I345" i="1" s="1"/>
  <c r="G250" i="1"/>
  <c r="I250" i="1" s="1"/>
  <c r="G199" i="1"/>
  <c r="I199" i="1" s="1"/>
  <c r="G147" i="1"/>
  <c r="I147" i="1" s="1"/>
  <c r="G96" i="1"/>
  <c r="I96" i="1" s="1"/>
  <c r="E657" i="1"/>
  <c r="G657" i="1"/>
  <c r="I657" i="1" s="1"/>
  <c r="E641" i="1"/>
  <c r="G641" i="1"/>
  <c r="I641" i="1" s="1"/>
  <c r="E625" i="1"/>
  <c r="G625" i="1"/>
  <c r="I625" i="1" s="1"/>
  <c r="E617" i="1"/>
  <c r="G617" i="1"/>
  <c r="I617" i="1" s="1"/>
  <c r="E609" i="1"/>
  <c r="G609" i="1"/>
  <c r="I609" i="1" s="1"/>
  <c r="E593" i="1"/>
  <c r="G593" i="1"/>
  <c r="I593" i="1" s="1"/>
  <c r="E585" i="1"/>
  <c r="G585" i="1"/>
  <c r="I585" i="1" s="1"/>
  <c r="E577" i="1"/>
  <c r="G577" i="1"/>
  <c r="I577" i="1" s="1"/>
  <c r="E561" i="1"/>
  <c r="G561" i="1"/>
  <c r="I561" i="1" s="1"/>
  <c r="E553" i="1"/>
  <c r="G553" i="1"/>
  <c r="I553" i="1" s="1"/>
  <c r="E545" i="1"/>
  <c r="G545" i="1"/>
  <c r="I545" i="1" s="1"/>
  <c r="E529" i="1"/>
  <c r="G529" i="1"/>
  <c r="I529" i="1" s="1"/>
  <c r="E521" i="1"/>
  <c r="G521" i="1"/>
  <c r="I521" i="1" s="1"/>
  <c r="E513" i="1"/>
  <c r="G513" i="1"/>
  <c r="I513" i="1" s="1"/>
  <c r="E497" i="1"/>
  <c r="G497" i="1"/>
  <c r="I497" i="1" s="1"/>
  <c r="E489" i="1"/>
  <c r="G489" i="1"/>
  <c r="I489" i="1" s="1"/>
  <c r="E481" i="1"/>
  <c r="G481" i="1"/>
  <c r="I481" i="1" s="1"/>
  <c r="E465" i="1"/>
  <c r="G465" i="1"/>
  <c r="I465" i="1" s="1"/>
  <c r="E457" i="1"/>
  <c r="G457" i="1"/>
  <c r="I457" i="1" s="1"/>
  <c r="E449" i="1"/>
  <c r="G449" i="1"/>
  <c r="I449" i="1" s="1"/>
  <c r="E433" i="1"/>
  <c r="G433" i="1"/>
  <c r="I433" i="1" s="1"/>
  <c r="E425" i="1"/>
  <c r="G425" i="1"/>
  <c r="I425" i="1" s="1"/>
  <c r="E417" i="1"/>
  <c r="G417" i="1"/>
  <c r="I417" i="1" s="1"/>
  <c r="E401" i="1"/>
  <c r="G401" i="1"/>
  <c r="I401" i="1" s="1"/>
  <c r="E393" i="1"/>
  <c r="G393" i="1"/>
  <c r="I393" i="1" s="1"/>
  <c r="E385" i="1"/>
  <c r="G385" i="1"/>
  <c r="I385" i="1" s="1"/>
  <c r="E369" i="1"/>
  <c r="G369" i="1"/>
  <c r="I369" i="1" s="1"/>
  <c r="E361" i="1"/>
  <c r="G361" i="1"/>
  <c r="I361" i="1" s="1"/>
  <c r="E353" i="1"/>
  <c r="G353" i="1"/>
  <c r="I353" i="1" s="1"/>
  <c r="E337" i="1"/>
  <c r="G337" i="1"/>
  <c r="I337" i="1" s="1"/>
  <c r="E329" i="1"/>
  <c r="G329" i="1"/>
  <c r="I329" i="1" s="1"/>
  <c r="E321" i="1"/>
  <c r="G321" i="1"/>
  <c r="I321" i="1" s="1"/>
  <c r="E305" i="1"/>
  <c r="G305" i="1"/>
  <c r="I305" i="1" s="1"/>
  <c r="E297" i="1"/>
  <c r="G297" i="1"/>
  <c r="I297" i="1" s="1"/>
  <c r="E289" i="1"/>
  <c r="G289" i="1"/>
  <c r="I289" i="1" s="1"/>
  <c r="E281" i="1"/>
  <c r="G281" i="1"/>
  <c r="I281" i="1" s="1"/>
  <c r="E273" i="1"/>
  <c r="G273" i="1"/>
  <c r="I273" i="1" s="1"/>
  <c r="E265" i="1"/>
  <c r="G265" i="1"/>
  <c r="I265" i="1" s="1"/>
  <c r="E257" i="1"/>
  <c r="G257" i="1"/>
  <c r="I257" i="1" s="1"/>
  <c r="E249" i="1"/>
  <c r="G249" i="1"/>
  <c r="I249" i="1" s="1"/>
  <c r="E241" i="1"/>
  <c r="G241" i="1"/>
  <c r="I241" i="1" s="1"/>
  <c r="E233" i="1"/>
  <c r="G233" i="1"/>
  <c r="I233" i="1" s="1"/>
  <c r="E225" i="1"/>
  <c r="G225" i="1"/>
  <c r="I225" i="1" s="1"/>
  <c r="E217" i="1"/>
  <c r="G217" i="1"/>
  <c r="I217" i="1" s="1"/>
  <c r="E209" i="1"/>
  <c r="G209" i="1"/>
  <c r="I209" i="1" s="1"/>
  <c r="E201" i="1"/>
  <c r="G201" i="1"/>
  <c r="I201" i="1" s="1"/>
  <c r="E193" i="1"/>
  <c r="G193" i="1"/>
  <c r="I193" i="1" s="1"/>
  <c r="E185" i="1"/>
  <c r="G185" i="1"/>
  <c r="I185" i="1" s="1"/>
  <c r="E177" i="1"/>
  <c r="G177" i="1"/>
  <c r="I177" i="1" s="1"/>
  <c r="E169" i="1"/>
  <c r="G169" i="1"/>
  <c r="I169" i="1" s="1"/>
  <c r="E161" i="1"/>
  <c r="G161" i="1"/>
  <c r="I161" i="1" s="1"/>
  <c r="E153" i="1"/>
  <c r="G153" i="1"/>
  <c r="I153" i="1" s="1"/>
  <c r="E145" i="1"/>
  <c r="G145" i="1"/>
  <c r="I145" i="1" s="1"/>
  <c r="E137" i="1"/>
  <c r="G137" i="1"/>
  <c r="I137" i="1" s="1"/>
  <c r="E129" i="1"/>
  <c r="G129" i="1"/>
  <c r="I129" i="1" s="1"/>
  <c r="E121" i="1"/>
  <c r="G121" i="1"/>
  <c r="I121" i="1" s="1"/>
  <c r="E113" i="1"/>
  <c r="G113" i="1"/>
  <c r="I113" i="1" s="1"/>
  <c r="E105" i="1"/>
  <c r="G105" i="1"/>
  <c r="I105" i="1" s="1"/>
  <c r="E97" i="1"/>
  <c r="G97" i="1"/>
  <c r="I97" i="1" s="1"/>
  <c r="E89" i="1"/>
  <c r="G89" i="1"/>
  <c r="I89" i="1" s="1"/>
  <c r="E81" i="1"/>
  <c r="G81" i="1"/>
  <c r="I81" i="1" s="1"/>
  <c r="E73" i="1"/>
  <c r="G73" i="1"/>
  <c r="I73" i="1" s="1"/>
  <c r="E65" i="1"/>
  <c r="G65" i="1"/>
  <c r="I65" i="1" s="1"/>
  <c r="E57" i="1"/>
  <c r="G57" i="1"/>
  <c r="I57" i="1" s="1"/>
  <c r="E49" i="1"/>
  <c r="G49" i="1"/>
  <c r="I49" i="1" s="1"/>
  <c r="E41" i="1"/>
  <c r="G41" i="1"/>
  <c r="I41" i="1" s="1"/>
  <c r="E33" i="1"/>
  <c r="G33" i="1"/>
  <c r="I33" i="1" s="1"/>
  <c r="E25" i="1"/>
  <c r="G25" i="1"/>
  <c r="I25" i="1" s="1"/>
  <c r="E17" i="1"/>
  <c r="G17" i="1"/>
  <c r="I17" i="1" s="1"/>
  <c r="E9" i="1"/>
  <c r="G9" i="1"/>
  <c r="I9" i="1" s="1"/>
  <c r="G1000" i="1"/>
  <c r="I1000" i="1" s="1"/>
  <c r="G992" i="1"/>
  <c r="I992" i="1" s="1"/>
  <c r="G984" i="1"/>
  <c r="I984" i="1" s="1"/>
  <c r="G976" i="1"/>
  <c r="I976" i="1" s="1"/>
  <c r="G968" i="1"/>
  <c r="I968" i="1" s="1"/>
  <c r="G960" i="1"/>
  <c r="I960" i="1" s="1"/>
  <c r="G952" i="1"/>
  <c r="I952" i="1" s="1"/>
  <c r="G944" i="1"/>
  <c r="I944" i="1" s="1"/>
  <c r="G936" i="1"/>
  <c r="I936" i="1" s="1"/>
  <c r="G927" i="1"/>
  <c r="I927" i="1" s="1"/>
  <c r="G899" i="1"/>
  <c r="I899" i="1" s="1"/>
  <c r="G890" i="1"/>
  <c r="I890" i="1" s="1"/>
  <c r="G880" i="1"/>
  <c r="I880" i="1" s="1"/>
  <c r="G858" i="1"/>
  <c r="I858" i="1" s="1"/>
  <c r="G848" i="1"/>
  <c r="I848" i="1" s="1"/>
  <c r="G826" i="1"/>
  <c r="I826" i="1" s="1"/>
  <c r="G816" i="1"/>
  <c r="I816" i="1" s="1"/>
  <c r="G794" i="1"/>
  <c r="I794" i="1" s="1"/>
  <c r="G784" i="1"/>
  <c r="I784" i="1" s="1"/>
  <c r="G762" i="1"/>
  <c r="I762" i="1" s="1"/>
  <c r="G752" i="1"/>
  <c r="I752" i="1" s="1"/>
  <c r="G730" i="1"/>
  <c r="I730" i="1" s="1"/>
  <c r="G720" i="1"/>
  <c r="I720" i="1" s="1"/>
  <c r="G698" i="1"/>
  <c r="I698" i="1" s="1"/>
  <c r="G688" i="1"/>
  <c r="I688" i="1" s="1"/>
  <c r="G675" i="1"/>
  <c r="I675" i="1" s="1"/>
  <c r="G664" i="1"/>
  <c r="I664" i="1" s="1"/>
  <c r="G649" i="1"/>
  <c r="I649" i="1" s="1"/>
  <c r="G623" i="1"/>
  <c r="I623" i="1" s="1"/>
  <c r="G592" i="1"/>
  <c r="I592" i="1" s="1"/>
  <c r="G506" i="1"/>
  <c r="I506" i="1" s="1"/>
  <c r="G464" i="1"/>
  <c r="I464" i="1" s="1"/>
  <c r="G378" i="1"/>
  <c r="I378" i="1" s="1"/>
  <c r="G336" i="1"/>
  <c r="I336" i="1" s="1"/>
  <c r="G290" i="1"/>
  <c r="I290" i="1" s="1"/>
  <c r="G239" i="1"/>
  <c r="I239" i="1" s="1"/>
  <c r="G187" i="1"/>
  <c r="I187" i="1" s="1"/>
  <c r="G136" i="1"/>
  <c r="I136" i="1" s="1"/>
  <c r="G34" i="1"/>
  <c r="I34" i="1" s="1"/>
  <c r="E648" i="1"/>
  <c r="G648" i="1"/>
  <c r="I648" i="1" s="1"/>
  <c r="E640" i="1"/>
  <c r="G640" i="1"/>
  <c r="I640" i="1" s="1"/>
  <c r="E616" i="1"/>
  <c r="G616" i="1"/>
  <c r="I616" i="1" s="1"/>
  <c r="E608" i="1"/>
  <c r="G608" i="1"/>
  <c r="I608" i="1" s="1"/>
  <c r="E584" i="1"/>
  <c r="G584" i="1"/>
  <c r="I584" i="1" s="1"/>
  <c r="E576" i="1"/>
  <c r="G576" i="1"/>
  <c r="I576" i="1" s="1"/>
  <c r="E568" i="1"/>
  <c r="G568" i="1"/>
  <c r="I568" i="1" s="1"/>
  <c r="E552" i="1"/>
  <c r="G552" i="1"/>
  <c r="I552" i="1" s="1"/>
  <c r="E544" i="1"/>
  <c r="G544" i="1"/>
  <c r="I544" i="1" s="1"/>
  <c r="E536" i="1"/>
  <c r="G536" i="1"/>
  <c r="I536" i="1" s="1"/>
  <c r="E520" i="1"/>
  <c r="G520" i="1"/>
  <c r="I520" i="1" s="1"/>
  <c r="E512" i="1"/>
  <c r="G512" i="1"/>
  <c r="I512" i="1" s="1"/>
  <c r="E504" i="1"/>
  <c r="G504" i="1"/>
  <c r="I504" i="1" s="1"/>
  <c r="E488" i="1"/>
  <c r="G488" i="1"/>
  <c r="I488" i="1" s="1"/>
  <c r="E480" i="1"/>
  <c r="G480" i="1"/>
  <c r="I480" i="1" s="1"/>
  <c r="E472" i="1"/>
  <c r="G472" i="1"/>
  <c r="I472" i="1" s="1"/>
  <c r="E456" i="1"/>
  <c r="G456" i="1"/>
  <c r="I456" i="1" s="1"/>
  <c r="E448" i="1"/>
  <c r="G448" i="1"/>
  <c r="I448" i="1" s="1"/>
  <c r="E440" i="1"/>
  <c r="G440" i="1"/>
  <c r="I440" i="1" s="1"/>
  <c r="E424" i="1"/>
  <c r="G424" i="1"/>
  <c r="I424" i="1" s="1"/>
  <c r="E416" i="1"/>
  <c r="G416" i="1"/>
  <c r="I416" i="1" s="1"/>
  <c r="E408" i="1"/>
  <c r="G408" i="1"/>
  <c r="I408" i="1" s="1"/>
  <c r="E392" i="1"/>
  <c r="G392" i="1"/>
  <c r="I392" i="1" s="1"/>
  <c r="E384" i="1"/>
  <c r="G384" i="1"/>
  <c r="I384" i="1" s="1"/>
  <c r="E376" i="1"/>
  <c r="G376" i="1"/>
  <c r="I376" i="1" s="1"/>
  <c r="E360" i="1"/>
  <c r="G360" i="1"/>
  <c r="I360" i="1" s="1"/>
  <c r="E352" i="1"/>
  <c r="G352" i="1"/>
  <c r="I352" i="1" s="1"/>
  <c r="E344" i="1"/>
  <c r="G344" i="1"/>
  <c r="I344" i="1" s="1"/>
  <c r="E328" i="1"/>
  <c r="G328" i="1"/>
  <c r="I328" i="1" s="1"/>
  <c r="E320" i="1"/>
  <c r="G320" i="1"/>
  <c r="I320" i="1" s="1"/>
  <c r="E312" i="1"/>
  <c r="G312" i="1"/>
  <c r="I312" i="1" s="1"/>
  <c r="E304" i="1"/>
  <c r="G304" i="1"/>
  <c r="I304" i="1" s="1"/>
  <c r="E296" i="1"/>
  <c r="G296" i="1"/>
  <c r="I296" i="1" s="1"/>
  <c r="E280" i="1"/>
  <c r="G280" i="1"/>
  <c r="I280" i="1" s="1"/>
  <c r="E272" i="1"/>
  <c r="G272" i="1"/>
  <c r="I272" i="1" s="1"/>
  <c r="E256" i="1"/>
  <c r="G256" i="1"/>
  <c r="I256" i="1" s="1"/>
  <c r="E248" i="1"/>
  <c r="G248" i="1"/>
  <c r="I248" i="1" s="1"/>
  <c r="E240" i="1"/>
  <c r="G240" i="1"/>
  <c r="I240" i="1" s="1"/>
  <c r="E232" i="1"/>
  <c r="G232" i="1"/>
  <c r="I232" i="1" s="1"/>
  <c r="E216" i="1"/>
  <c r="G216" i="1"/>
  <c r="I216" i="1" s="1"/>
  <c r="E208" i="1"/>
  <c r="G208" i="1"/>
  <c r="I208" i="1" s="1"/>
  <c r="E192" i="1"/>
  <c r="G192" i="1"/>
  <c r="I192" i="1" s="1"/>
  <c r="E184" i="1"/>
  <c r="G184" i="1"/>
  <c r="I184" i="1" s="1"/>
  <c r="E176" i="1"/>
  <c r="G176" i="1"/>
  <c r="I176" i="1" s="1"/>
  <c r="E168" i="1"/>
  <c r="G168" i="1"/>
  <c r="I168" i="1" s="1"/>
  <c r="E152" i="1"/>
  <c r="G152" i="1"/>
  <c r="I152" i="1" s="1"/>
  <c r="E144" i="1"/>
  <c r="G144" i="1"/>
  <c r="I144" i="1" s="1"/>
  <c r="E128" i="1"/>
  <c r="G128" i="1"/>
  <c r="I128" i="1" s="1"/>
  <c r="E120" i="1"/>
  <c r="G120" i="1"/>
  <c r="I120" i="1" s="1"/>
  <c r="E112" i="1"/>
  <c r="G112" i="1"/>
  <c r="I112" i="1" s="1"/>
  <c r="E104" i="1"/>
  <c r="G104" i="1"/>
  <c r="I104" i="1" s="1"/>
  <c r="E88" i="1"/>
  <c r="G88" i="1"/>
  <c r="I88" i="1" s="1"/>
  <c r="E80" i="1"/>
  <c r="G80" i="1"/>
  <c r="I80" i="1" s="1"/>
  <c r="E64" i="1"/>
  <c r="G64" i="1"/>
  <c r="I64" i="1" s="1"/>
  <c r="E56" i="1"/>
  <c r="G56" i="1"/>
  <c r="I56" i="1" s="1"/>
  <c r="E48" i="1"/>
  <c r="G48" i="1"/>
  <c r="I48" i="1" s="1"/>
  <c r="E40" i="1"/>
  <c r="G40" i="1"/>
  <c r="I40" i="1" s="1"/>
  <c r="E24" i="1"/>
  <c r="G24" i="1"/>
  <c r="I24" i="1" s="1"/>
  <c r="E16" i="1"/>
  <c r="G16" i="1"/>
  <c r="I16" i="1" s="1"/>
  <c r="E8" i="1"/>
  <c r="G8" i="1"/>
  <c r="I8" i="1" s="1"/>
  <c r="G999" i="1"/>
  <c r="I999" i="1" s="1"/>
  <c r="G991" i="1"/>
  <c r="I991" i="1" s="1"/>
  <c r="G983" i="1"/>
  <c r="I983" i="1" s="1"/>
  <c r="G975" i="1"/>
  <c r="I975" i="1" s="1"/>
  <c r="G967" i="1"/>
  <c r="I967" i="1" s="1"/>
  <c r="G959" i="1"/>
  <c r="I959" i="1" s="1"/>
  <c r="G951" i="1"/>
  <c r="I951" i="1" s="1"/>
  <c r="G943" i="1"/>
  <c r="I943" i="1" s="1"/>
  <c r="G935" i="1"/>
  <c r="I935" i="1" s="1"/>
  <c r="G907" i="1"/>
  <c r="I907" i="1" s="1"/>
  <c r="G898" i="1"/>
  <c r="I898" i="1" s="1"/>
  <c r="G889" i="1"/>
  <c r="I889" i="1" s="1"/>
  <c r="G879" i="1"/>
  <c r="I879" i="1" s="1"/>
  <c r="G867" i="1"/>
  <c r="I867" i="1" s="1"/>
  <c r="G857" i="1"/>
  <c r="I857" i="1" s="1"/>
  <c r="G847" i="1"/>
  <c r="I847" i="1" s="1"/>
  <c r="G835" i="1"/>
  <c r="I835" i="1" s="1"/>
  <c r="G825" i="1"/>
  <c r="I825" i="1" s="1"/>
  <c r="G815" i="1"/>
  <c r="I815" i="1" s="1"/>
  <c r="G803" i="1"/>
  <c r="I803" i="1" s="1"/>
  <c r="G793" i="1"/>
  <c r="I793" i="1" s="1"/>
  <c r="G783" i="1"/>
  <c r="I783" i="1" s="1"/>
  <c r="G771" i="1"/>
  <c r="I771" i="1" s="1"/>
  <c r="G761" i="1"/>
  <c r="I761" i="1" s="1"/>
  <c r="G751" i="1"/>
  <c r="I751" i="1" s="1"/>
  <c r="G739" i="1"/>
  <c r="I739" i="1" s="1"/>
  <c r="G729" i="1"/>
  <c r="I729" i="1" s="1"/>
  <c r="G719" i="1"/>
  <c r="I719" i="1" s="1"/>
  <c r="G707" i="1"/>
  <c r="I707" i="1" s="1"/>
  <c r="G697" i="1"/>
  <c r="I697" i="1" s="1"/>
  <c r="G687" i="1"/>
  <c r="I687" i="1" s="1"/>
  <c r="G674" i="1"/>
  <c r="I674" i="1" s="1"/>
  <c r="G663" i="1"/>
  <c r="I663" i="1" s="1"/>
  <c r="G591" i="1"/>
  <c r="I591" i="1" s="1"/>
  <c r="G547" i="1"/>
  <c r="I547" i="1" s="1"/>
  <c r="G505" i="1"/>
  <c r="I505" i="1" s="1"/>
  <c r="G463" i="1"/>
  <c r="I463" i="1" s="1"/>
  <c r="G419" i="1"/>
  <c r="I419" i="1" s="1"/>
  <c r="G377" i="1"/>
  <c r="I377" i="1" s="1"/>
  <c r="G335" i="1"/>
  <c r="I335" i="1" s="1"/>
  <c r="G288" i="1"/>
  <c r="I288" i="1" s="1"/>
  <c r="G186" i="1"/>
  <c r="I186" i="1" s="1"/>
  <c r="G135" i="1"/>
  <c r="I135" i="1" s="1"/>
  <c r="G83" i="1"/>
  <c r="I83" i="1" s="1"/>
  <c r="G32" i="1"/>
  <c r="I32" i="1" s="1"/>
  <c r="E647" i="1"/>
  <c r="G647" i="1"/>
  <c r="I647" i="1" s="1"/>
  <c r="E639" i="1"/>
  <c r="G639" i="1"/>
  <c r="I639" i="1" s="1"/>
  <c r="E631" i="1"/>
  <c r="G631" i="1"/>
  <c r="I631" i="1" s="1"/>
  <c r="E615" i="1"/>
  <c r="G615" i="1"/>
  <c r="I615" i="1" s="1"/>
  <c r="E607" i="1"/>
  <c r="G607" i="1"/>
  <c r="I607" i="1" s="1"/>
  <c r="E599" i="1"/>
  <c r="G599" i="1"/>
  <c r="I599" i="1" s="1"/>
  <c r="E583" i="1"/>
  <c r="G583" i="1"/>
  <c r="I583" i="1" s="1"/>
  <c r="E575" i="1"/>
  <c r="G575" i="1"/>
  <c r="I575" i="1" s="1"/>
  <c r="E567" i="1"/>
  <c r="G567" i="1"/>
  <c r="I567" i="1" s="1"/>
  <c r="E551" i="1"/>
  <c r="G551" i="1"/>
  <c r="I551" i="1" s="1"/>
  <c r="E543" i="1"/>
  <c r="G543" i="1"/>
  <c r="I543" i="1" s="1"/>
  <c r="E535" i="1"/>
  <c r="G535" i="1"/>
  <c r="I535" i="1" s="1"/>
  <c r="E519" i="1"/>
  <c r="G519" i="1"/>
  <c r="I519" i="1" s="1"/>
  <c r="E511" i="1"/>
  <c r="G511" i="1"/>
  <c r="I511" i="1" s="1"/>
  <c r="E503" i="1"/>
  <c r="G503" i="1"/>
  <c r="I503" i="1" s="1"/>
  <c r="E487" i="1"/>
  <c r="G487" i="1"/>
  <c r="I487" i="1" s="1"/>
  <c r="E479" i="1"/>
  <c r="G479" i="1"/>
  <c r="I479" i="1" s="1"/>
  <c r="E471" i="1"/>
  <c r="G471" i="1"/>
  <c r="I471" i="1" s="1"/>
  <c r="E455" i="1"/>
  <c r="G455" i="1"/>
  <c r="I455" i="1" s="1"/>
  <c r="E447" i="1"/>
  <c r="G447" i="1"/>
  <c r="I447" i="1" s="1"/>
  <c r="E439" i="1"/>
  <c r="G439" i="1"/>
  <c r="I439" i="1" s="1"/>
  <c r="E423" i="1"/>
  <c r="G423" i="1"/>
  <c r="I423" i="1" s="1"/>
  <c r="E415" i="1"/>
  <c r="G415" i="1"/>
  <c r="I415" i="1" s="1"/>
  <c r="E407" i="1"/>
  <c r="G407" i="1"/>
  <c r="I407" i="1" s="1"/>
  <c r="E391" i="1"/>
  <c r="G391" i="1"/>
  <c r="I391" i="1" s="1"/>
  <c r="E383" i="1"/>
  <c r="G383" i="1"/>
  <c r="I383" i="1" s="1"/>
  <c r="E375" i="1"/>
  <c r="G375" i="1"/>
  <c r="I375" i="1" s="1"/>
  <c r="E359" i="1"/>
  <c r="G359" i="1"/>
  <c r="I359" i="1" s="1"/>
  <c r="E351" i="1"/>
  <c r="G351" i="1"/>
  <c r="I351" i="1" s="1"/>
  <c r="E343" i="1"/>
  <c r="G343" i="1"/>
  <c r="I343" i="1" s="1"/>
  <c r="E327" i="1"/>
  <c r="G327" i="1"/>
  <c r="I327" i="1" s="1"/>
  <c r="E319" i="1"/>
  <c r="G319" i="1"/>
  <c r="I319" i="1" s="1"/>
  <c r="E311" i="1"/>
  <c r="G311" i="1"/>
  <c r="I311" i="1" s="1"/>
  <c r="E295" i="1"/>
  <c r="G295" i="1"/>
  <c r="I295" i="1" s="1"/>
  <c r="E287" i="1"/>
  <c r="G287" i="1"/>
  <c r="I287" i="1" s="1"/>
  <c r="E279" i="1"/>
  <c r="G279" i="1"/>
  <c r="I279" i="1" s="1"/>
  <c r="E271" i="1"/>
  <c r="G271" i="1"/>
  <c r="I271" i="1" s="1"/>
  <c r="E255" i="1"/>
  <c r="G255" i="1"/>
  <c r="I255" i="1" s="1"/>
  <c r="E247" i="1"/>
  <c r="G247" i="1"/>
  <c r="I247" i="1" s="1"/>
  <c r="E231" i="1"/>
  <c r="G231" i="1"/>
  <c r="I231" i="1" s="1"/>
  <c r="E223" i="1"/>
  <c r="G223" i="1"/>
  <c r="I223" i="1" s="1"/>
  <c r="E215" i="1"/>
  <c r="G215" i="1"/>
  <c r="I215" i="1" s="1"/>
  <c r="E207" i="1"/>
  <c r="G207" i="1"/>
  <c r="I207" i="1" s="1"/>
  <c r="E191" i="1"/>
  <c r="G191" i="1"/>
  <c r="I191" i="1" s="1"/>
  <c r="E183" i="1"/>
  <c r="G183" i="1"/>
  <c r="I183" i="1" s="1"/>
  <c r="E167" i="1"/>
  <c r="G167" i="1"/>
  <c r="I167" i="1" s="1"/>
  <c r="E159" i="1"/>
  <c r="G159" i="1"/>
  <c r="I159" i="1" s="1"/>
  <c r="E151" i="1"/>
  <c r="G151" i="1"/>
  <c r="I151" i="1" s="1"/>
  <c r="E143" i="1"/>
  <c r="G143" i="1"/>
  <c r="I143" i="1" s="1"/>
  <c r="E127" i="1"/>
  <c r="G127" i="1"/>
  <c r="I127" i="1" s="1"/>
  <c r="E119" i="1"/>
  <c r="G119" i="1"/>
  <c r="I119" i="1" s="1"/>
  <c r="E103" i="1"/>
  <c r="G103" i="1"/>
  <c r="I103" i="1" s="1"/>
  <c r="E95" i="1"/>
  <c r="G95" i="1"/>
  <c r="I95" i="1" s="1"/>
  <c r="E87" i="1"/>
  <c r="G87" i="1"/>
  <c r="I87" i="1" s="1"/>
  <c r="E79" i="1"/>
  <c r="G79" i="1"/>
  <c r="I79" i="1" s="1"/>
  <c r="E63" i="1"/>
  <c r="G63" i="1"/>
  <c r="I63" i="1" s="1"/>
  <c r="E55" i="1"/>
  <c r="G55" i="1"/>
  <c r="I55" i="1" s="1"/>
  <c r="E39" i="1"/>
  <c r="G39" i="1"/>
  <c r="I39" i="1" s="1"/>
  <c r="E31" i="1"/>
  <c r="G31" i="1"/>
  <c r="I31" i="1" s="1"/>
  <c r="E23" i="1"/>
  <c r="G23" i="1"/>
  <c r="I23" i="1" s="1"/>
  <c r="E15" i="1"/>
  <c r="G15" i="1"/>
  <c r="I15" i="1" s="1"/>
  <c r="E7" i="1"/>
  <c r="G7" i="1"/>
  <c r="I7" i="1" s="1"/>
  <c r="G915" i="1"/>
  <c r="I915" i="1" s="1"/>
  <c r="G906" i="1"/>
  <c r="I906" i="1" s="1"/>
  <c r="G897" i="1"/>
  <c r="I897" i="1" s="1"/>
  <c r="G888" i="1"/>
  <c r="I888" i="1" s="1"/>
  <c r="G866" i="1"/>
  <c r="I866" i="1" s="1"/>
  <c r="G856" i="1"/>
  <c r="I856" i="1" s="1"/>
  <c r="G834" i="1"/>
  <c r="I834" i="1" s="1"/>
  <c r="G824" i="1"/>
  <c r="I824" i="1" s="1"/>
  <c r="G802" i="1"/>
  <c r="I802" i="1" s="1"/>
  <c r="G792" i="1"/>
  <c r="I792" i="1" s="1"/>
  <c r="G770" i="1"/>
  <c r="I770" i="1" s="1"/>
  <c r="G760" i="1"/>
  <c r="I760" i="1" s="1"/>
  <c r="G738" i="1"/>
  <c r="I738" i="1" s="1"/>
  <c r="G728" i="1"/>
  <c r="I728" i="1" s="1"/>
  <c r="G706" i="1"/>
  <c r="I706" i="1" s="1"/>
  <c r="G696" i="1"/>
  <c r="I696" i="1" s="1"/>
  <c r="G673" i="1"/>
  <c r="I673" i="1" s="1"/>
  <c r="G643" i="1"/>
  <c r="I643" i="1" s="1"/>
  <c r="G538" i="1"/>
  <c r="I538" i="1" s="1"/>
  <c r="G496" i="1"/>
  <c r="I496" i="1" s="1"/>
  <c r="G410" i="1"/>
  <c r="I410" i="1" s="1"/>
  <c r="G368" i="1"/>
  <c r="I368" i="1" s="1"/>
  <c r="G226" i="1"/>
  <c r="I226" i="1" s="1"/>
  <c r="G175" i="1"/>
  <c r="I175" i="1" s="1"/>
  <c r="G123" i="1"/>
  <c r="I123" i="1" s="1"/>
  <c r="G72" i="1"/>
  <c r="I72" i="1" s="1"/>
  <c r="G923" i="1"/>
  <c r="I923" i="1" s="1"/>
  <c r="G914" i="1"/>
  <c r="I914" i="1" s="1"/>
  <c r="G905" i="1"/>
  <c r="I905" i="1" s="1"/>
  <c r="G896" i="1"/>
  <c r="I896" i="1" s="1"/>
  <c r="G887" i="1"/>
  <c r="I887" i="1" s="1"/>
  <c r="G875" i="1"/>
  <c r="I875" i="1" s="1"/>
  <c r="G865" i="1"/>
  <c r="I865" i="1" s="1"/>
  <c r="G855" i="1"/>
  <c r="I855" i="1" s="1"/>
  <c r="G843" i="1"/>
  <c r="I843" i="1" s="1"/>
  <c r="G833" i="1"/>
  <c r="I833" i="1" s="1"/>
  <c r="G823" i="1"/>
  <c r="I823" i="1" s="1"/>
  <c r="G811" i="1"/>
  <c r="I811" i="1" s="1"/>
  <c r="G801" i="1"/>
  <c r="I801" i="1" s="1"/>
  <c r="G791" i="1"/>
  <c r="I791" i="1" s="1"/>
  <c r="G779" i="1"/>
  <c r="I779" i="1" s="1"/>
  <c r="G769" i="1"/>
  <c r="I769" i="1" s="1"/>
  <c r="G759" i="1"/>
  <c r="I759" i="1" s="1"/>
  <c r="G747" i="1"/>
  <c r="I747" i="1" s="1"/>
  <c r="G737" i="1"/>
  <c r="I737" i="1" s="1"/>
  <c r="G727" i="1"/>
  <c r="I727" i="1" s="1"/>
  <c r="G715" i="1"/>
  <c r="I715" i="1" s="1"/>
  <c r="G705" i="1"/>
  <c r="I705" i="1" s="1"/>
  <c r="G695" i="1"/>
  <c r="I695" i="1" s="1"/>
  <c r="G683" i="1"/>
  <c r="I683" i="1" s="1"/>
  <c r="G672" i="1"/>
  <c r="I672" i="1" s="1"/>
  <c r="G659" i="1"/>
  <c r="I659" i="1" s="1"/>
  <c r="G642" i="1"/>
  <c r="I642" i="1" s="1"/>
  <c r="G611" i="1"/>
  <c r="I611" i="1" s="1"/>
  <c r="G579" i="1"/>
  <c r="I579" i="1" s="1"/>
  <c r="G537" i="1"/>
  <c r="I537" i="1" s="1"/>
  <c r="G495" i="1"/>
  <c r="I495" i="1" s="1"/>
  <c r="G451" i="1"/>
  <c r="I451" i="1" s="1"/>
  <c r="G409" i="1"/>
  <c r="I409" i="1" s="1"/>
  <c r="G367" i="1"/>
  <c r="I367" i="1" s="1"/>
  <c r="G323" i="1"/>
  <c r="I323" i="1" s="1"/>
  <c r="G275" i="1"/>
  <c r="I275" i="1" s="1"/>
  <c r="G224" i="1"/>
  <c r="I224" i="1" s="1"/>
  <c r="G122" i="1"/>
  <c r="I122" i="1" s="1"/>
  <c r="G71" i="1"/>
  <c r="I71" i="1" s="1"/>
  <c r="G19" i="1"/>
  <c r="I19" i="1" s="1"/>
  <c r="G3" i="1"/>
  <c r="I3" i="1" s="1"/>
  <c r="H19" i="1" l="1"/>
  <c r="J19" i="1" s="1"/>
  <c r="K19" i="1" s="1"/>
  <c r="H643" i="1"/>
  <c r="J643" i="1" s="1"/>
  <c r="K643" i="1" s="1"/>
  <c r="H159" i="1"/>
  <c r="J159" i="1" s="1"/>
  <c r="K159" i="1" s="1"/>
  <c r="H415" i="1"/>
  <c r="J415" i="1" s="1"/>
  <c r="K415" i="1" s="1"/>
  <c r="H729" i="1"/>
  <c r="J729" i="1" s="1"/>
  <c r="K729" i="1" s="1"/>
  <c r="H983" i="1"/>
  <c r="J983" i="1" s="1"/>
  <c r="K983" i="1" s="1"/>
  <c r="H33" i="1"/>
  <c r="J33" i="1" s="1"/>
  <c r="K33" i="1" s="1"/>
  <c r="H225" i="1"/>
  <c r="J225" i="1" s="1"/>
  <c r="K225" i="1" s="1"/>
  <c r="H585" i="1"/>
  <c r="J585" i="1" s="1"/>
  <c r="K585" i="1" s="1"/>
  <c r="H891" i="1"/>
  <c r="J891" i="1" s="1"/>
  <c r="K891" i="1" s="1"/>
  <c r="H154" i="1"/>
  <c r="J154" i="1" s="1"/>
  <c r="K154" i="1" s="1"/>
  <c r="H370" i="1"/>
  <c r="J370" i="1" s="1"/>
  <c r="K370" i="1" s="1"/>
  <c r="H808" i="1"/>
  <c r="J808" i="1" s="1"/>
  <c r="K808" i="1" s="1"/>
  <c r="H259" i="1"/>
  <c r="J259" i="1" s="1"/>
  <c r="K259" i="1" s="1"/>
  <c r="H832" i="1"/>
  <c r="J832" i="1" s="1"/>
  <c r="K832" i="1" s="1"/>
  <c r="H123" i="1"/>
  <c r="J123" i="1" s="1"/>
  <c r="K123" i="1" s="1"/>
  <c r="H915" i="1"/>
  <c r="J915" i="1" s="1"/>
  <c r="K915" i="1" s="1"/>
  <c r="H409" i="1"/>
  <c r="J409" i="1" s="1"/>
  <c r="K409" i="1" s="1"/>
  <c r="H672" i="1"/>
  <c r="J672" i="1" s="1"/>
  <c r="K672" i="1" s="1"/>
  <c r="H759" i="1"/>
  <c r="J759" i="1" s="1"/>
  <c r="K759" i="1" s="1"/>
  <c r="H843" i="1"/>
  <c r="J843" i="1" s="1"/>
  <c r="K843" i="1" s="1"/>
  <c r="H923" i="1"/>
  <c r="J923" i="1" s="1"/>
  <c r="K923" i="1" s="1"/>
  <c r="H538" i="1"/>
  <c r="J538" i="1" s="1"/>
  <c r="K538" i="1" s="1"/>
  <c r="H770" i="1"/>
  <c r="J770" i="1" s="1"/>
  <c r="K770" i="1" s="1"/>
  <c r="H897" i="1"/>
  <c r="J897" i="1" s="1"/>
  <c r="K897" i="1" s="1"/>
  <c r="H83" i="1"/>
  <c r="J83" i="1" s="1"/>
  <c r="K83" i="1" s="1"/>
  <c r="H505" i="1"/>
  <c r="J505" i="1" s="1"/>
  <c r="K505" i="1" s="1"/>
  <c r="H719" i="1"/>
  <c r="J719" i="1" s="1"/>
  <c r="K719" i="1" s="1"/>
  <c r="H803" i="1"/>
  <c r="J803" i="1" s="1"/>
  <c r="K803" i="1" s="1"/>
  <c r="H889" i="1"/>
  <c r="J889" i="1" s="1"/>
  <c r="K889" i="1" s="1"/>
  <c r="H975" i="1"/>
  <c r="J975" i="1" s="1"/>
  <c r="K975" i="1" s="1"/>
  <c r="H24" i="1"/>
  <c r="J24" i="1" s="1"/>
  <c r="K24" i="1" s="1"/>
  <c r="H64" i="1"/>
  <c r="J64" i="1" s="1"/>
  <c r="K64" i="1" s="1"/>
  <c r="H112" i="1"/>
  <c r="J112" i="1" s="1"/>
  <c r="K112" i="1" s="1"/>
  <c r="H152" i="1"/>
  <c r="J152" i="1" s="1"/>
  <c r="K152" i="1" s="1"/>
  <c r="H192" i="1"/>
  <c r="J192" i="1" s="1"/>
  <c r="K192" i="1" s="1"/>
  <c r="H240" i="1"/>
  <c r="J240" i="1" s="1"/>
  <c r="K240" i="1" s="1"/>
  <c r="H280" i="1"/>
  <c r="J280" i="1" s="1"/>
  <c r="K280" i="1" s="1"/>
  <c r="H320" i="1"/>
  <c r="J320" i="1" s="1"/>
  <c r="K320" i="1" s="1"/>
  <c r="H360" i="1"/>
  <c r="J360" i="1" s="1"/>
  <c r="K360" i="1" s="1"/>
  <c r="H408" i="1"/>
  <c r="J408" i="1" s="1"/>
  <c r="K408" i="1" s="1"/>
  <c r="H448" i="1"/>
  <c r="J448" i="1" s="1"/>
  <c r="K448" i="1" s="1"/>
  <c r="H488" i="1"/>
  <c r="J488" i="1" s="1"/>
  <c r="K488" i="1" s="1"/>
  <c r="H536" i="1"/>
  <c r="J536" i="1" s="1"/>
  <c r="K536" i="1" s="1"/>
  <c r="H576" i="1"/>
  <c r="J576" i="1" s="1"/>
  <c r="K576" i="1" s="1"/>
  <c r="H640" i="1"/>
  <c r="J640" i="1" s="1"/>
  <c r="K640" i="1" s="1"/>
  <c r="H290" i="1"/>
  <c r="J290" i="1" s="1"/>
  <c r="K290" i="1" s="1"/>
  <c r="H664" i="1"/>
  <c r="J664" i="1" s="1"/>
  <c r="K664" i="1" s="1"/>
  <c r="H784" i="1"/>
  <c r="J784" i="1" s="1"/>
  <c r="K784" i="1" s="1"/>
  <c r="H899" i="1"/>
  <c r="J899" i="1" s="1"/>
  <c r="K899" i="1" s="1"/>
  <c r="H984" i="1"/>
  <c r="J984" i="1" s="1"/>
  <c r="K984" i="1" s="1"/>
  <c r="H147" i="1"/>
  <c r="J147" i="1" s="1"/>
  <c r="K147" i="1" s="1"/>
  <c r="H559" i="1"/>
  <c r="J559" i="1" s="1"/>
  <c r="K559" i="1" s="1"/>
  <c r="H711" i="1"/>
  <c r="J711" i="1" s="1"/>
  <c r="K711" i="1" s="1"/>
  <c r="H795" i="1"/>
  <c r="J795" i="1" s="1"/>
  <c r="K795" i="1" s="1"/>
  <c r="H881" i="1"/>
  <c r="J881" i="1" s="1"/>
  <c r="K881" i="1" s="1"/>
  <c r="H969" i="1"/>
  <c r="J969" i="1" s="1"/>
  <c r="K969" i="1" s="1"/>
  <c r="H251" i="1"/>
  <c r="J251" i="1" s="1"/>
  <c r="K251" i="1" s="1"/>
  <c r="H666" i="1"/>
  <c r="J666" i="1" s="1"/>
  <c r="K666" i="1" s="1"/>
  <c r="H786" i="1"/>
  <c r="J786" i="1" s="1"/>
  <c r="K786" i="1" s="1"/>
  <c r="H920" i="1"/>
  <c r="J920" i="1" s="1"/>
  <c r="K920" i="1" s="1"/>
  <c r="H986" i="1"/>
  <c r="J986" i="1" s="1"/>
  <c r="K986" i="1" s="1"/>
  <c r="H263" i="1"/>
  <c r="J263" i="1" s="1"/>
  <c r="K263" i="1" s="1"/>
  <c r="H602" i="1"/>
  <c r="J602" i="1" s="1"/>
  <c r="K602" i="1" s="1"/>
  <c r="H735" i="1"/>
  <c r="J735" i="1" s="1"/>
  <c r="K735" i="1" s="1"/>
  <c r="H819" i="1"/>
  <c r="J819" i="1" s="1"/>
  <c r="K819" i="1" s="1"/>
  <c r="H912" i="1"/>
  <c r="J912" i="1" s="1"/>
  <c r="K912" i="1" s="1"/>
  <c r="H979" i="1"/>
  <c r="J979" i="1" s="1"/>
  <c r="K979" i="1" s="1"/>
  <c r="H400" i="1"/>
  <c r="J400" i="1" s="1"/>
  <c r="K400" i="1" s="1"/>
  <c r="H682" i="1"/>
  <c r="J682" i="1" s="1"/>
  <c r="K682" i="1" s="1"/>
  <c r="H810" i="1"/>
  <c r="J810" i="1" s="1"/>
  <c r="K810" i="1" s="1"/>
  <c r="H922" i="1"/>
  <c r="J922" i="1" s="1"/>
  <c r="K922" i="1" s="1"/>
  <c r="H29" i="1"/>
  <c r="J29" i="1" s="1"/>
  <c r="K29" i="1" s="1"/>
  <c r="H61" i="1"/>
  <c r="J61" i="1" s="1"/>
  <c r="K61" i="1" s="1"/>
  <c r="H93" i="1"/>
  <c r="J93" i="1" s="1"/>
  <c r="K93" i="1" s="1"/>
  <c r="H125" i="1"/>
  <c r="J125" i="1" s="1"/>
  <c r="K125" i="1" s="1"/>
  <c r="H157" i="1"/>
  <c r="J157" i="1" s="1"/>
  <c r="K157" i="1" s="1"/>
  <c r="H189" i="1"/>
  <c r="J189" i="1" s="1"/>
  <c r="K189" i="1" s="1"/>
  <c r="H221" i="1"/>
  <c r="J221" i="1" s="1"/>
  <c r="K221" i="1" s="1"/>
  <c r="H253" i="1"/>
  <c r="J253" i="1" s="1"/>
  <c r="K253" i="1" s="1"/>
  <c r="H285" i="1"/>
  <c r="J285" i="1" s="1"/>
  <c r="K285" i="1" s="1"/>
  <c r="H317" i="1"/>
  <c r="J317" i="1" s="1"/>
  <c r="K317" i="1" s="1"/>
  <c r="H349" i="1"/>
  <c r="J349" i="1" s="1"/>
  <c r="K349" i="1" s="1"/>
  <c r="H381" i="1"/>
  <c r="J381" i="1" s="1"/>
  <c r="K381" i="1" s="1"/>
  <c r="H413" i="1"/>
  <c r="J413" i="1" s="1"/>
  <c r="K413" i="1" s="1"/>
  <c r="H445" i="1"/>
  <c r="J445" i="1" s="1"/>
  <c r="K445" i="1" s="1"/>
  <c r="H477" i="1"/>
  <c r="J477" i="1" s="1"/>
  <c r="K477" i="1" s="1"/>
  <c r="H509" i="1"/>
  <c r="J509" i="1" s="1"/>
  <c r="K509" i="1" s="1"/>
  <c r="H541" i="1"/>
  <c r="J541" i="1" s="1"/>
  <c r="K541" i="1" s="1"/>
  <c r="H573" i="1"/>
  <c r="J573" i="1" s="1"/>
  <c r="K573" i="1" s="1"/>
  <c r="H605" i="1"/>
  <c r="J605" i="1" s="1"/>
  <c r="K605" i="1" s="1"/>
  <c r="H637" i="1"/>
  <c r="J637" i="1" s="1"/>
  <c r="K637" i="1" s="1"/>
  <c r="H669" i="1"/>
  <c r="J669" i="1" s="1"/>
  <c r="K669" i="1" s="1"/>
  <c r="H701" i="1"/>
  <c r="J701" i="1" s="1"/>
  <c r="K701" i="1" s="1"/>
  <c r="H733" i="1"/>
  <c r="J733" i="1" s="1"/>
  <c r="K733" i="1" s="1"/>
  <c r="H765" i="1"/>
  <c r="J765" i="1" s="1"/>
  <c r="K765" i="1" s="1"/>
  <c r="H797" i="1"/>
  <c r="J797" i="1" s="1"/>
  <c r="K797" i="1" s="1"/>
  <c r="H829" i="1"/>
  <c r="J829" i="1" s="1"/>
  <c r="K829" i="1" s="1"/>
  <c r="H4" i="1"/>
  <c r="J4" i="1" s="1"/>
  <c r="K4" i="1" s="1"/>
  <c r="H68" i="1"/>
  <c r="J68" i="1" s="1"/>
  <c r="K68" i="1" s="1"/>
  <c r="H132" i="1"/>
  <c r="J132" i="1" s="1"/>
  <c r="K132" i="1" s="1"/>
  <c r="H196" i="1"/>
  <c r="J196" i="1" s="1"/>
  <c r="K196" i="1" s="1"/>
  <c r="H260" i="1"/>
  <c r="J260" i="1" s="1"/>
  <c r="K260" i="1" s="1"/>
  <c r="H324" i="1"/>
  <c r="J324" i="1" s="1"/>
  <c r="K324" i="1" s="1"/>
  <c r="H380" i="1"/>
  <c r="J380" i="1" s="1"/>
  <c r="K380" i="1" s="1"/>
  <c r="H436" i="1"/>
  <c r="J436" i="1" s="1"/>
  <c r="K436" i="1" s="1"/>
  <c r="H492" i="1"/>
  <c r="J492" i="1" s="1"/>
  <c r="K492" i="1" s="1"/>
  <c r="H556" i="1"/>
  <c r="J556" i="1" s="1"/>
  <c r="K556" i="1" s="1"/>
  <c r="H628" i="1"/>
  <c r="J628" i="1" s="1"/>
  <c r="K628" i="1" s="1"/>
  <c r="H692" i="1"/>
  <c r="J692" i="1" s="1"/>
  <c r="K692" i="1" s="1"/>
  <c r="H764" i="1"/>
  <c r="J764" i="1" s="1"/>
  <c r="K764" i="1" s="1"/>
  <c r="H828" i="1"/>
  <c r="J828" i="1" s="1"/>
  <c r="K828" i="1" s="1"/>
  <c r="H892" i="1"/>
  <c r="J892" i="1" s="1"/>
  <c r="K892" i="1" s="1"/>
  <c r="H964" i="1"/>
  <c r="J964" i="1" s="1"/>
  <c r="K964" i="1" s="1"/>
  <c r="H869" i="1"/>
  <c r="J869" i="1" s="1"/>
  <c r="K869" i="1" s="1"/>
  <c r="H901" i="1"/>
  <c r="J901" i="1" s="1"/>
  <c r="K901" i="1" s="1"/>
  <c r="H933" i="1"/>
  <c r="J933" i="1" s="1"/>
  <c r="K933" i="1" s="1"/>
  <c r="H965" i="1"/>
  <c r="J965" i="1" s="1"/>
  <c r="K965" i="1" s="1"/>
  <c r="H997" i="1"/>
  <c r="J997" i="1" s="1"/>
  <c r="K997" i="1" s="1"/>
  <c r="H638" i="1"/>
  <c r="J638" i="1" s="1"/>
  <c r="K638" i="1" s="1"/>
  <c r="H702" i="1"/>
  <c r="J702" i="1" s="1"/>
  <c r="K702" i="1" s="1"/>
  <c r="H766" i="1"/>
  <c r="J766" i="1" s="1"/>
  <c r="K766" i="1" s="1"/>
  <c r="H830" i="1"/>
  <c r="J830" i="1" s="1"/>
  <c r="K830" i="1" s="1"/>
  <c r="H886" i="1"/>
  <c r="J886" i="1" s="1"/>
  <c r="K886" i="1" s="1"/>
  <c r="H950" i="1"/>
  <c r="J950" i="1" s="1"/>
  <c r="K950" i="1" s="1"/>
  <c r="H14" i="1"/>
  <c r="J14" i="1" s="1"/>
  <c r="K14" i="1" s="1"/>
  <c r="H46" i="1"/>
  <c r="J46" i="1" s="1"/>
  <c r="K46" i="1" s="1"/>
  <c r="H78" i="1"/>
  <c r="J78" i="1" s="1"/>
  <c r="K78" i="1" s="1"/>
  <c r="H110" i="1"/>
  <c r="J110" i="1" s="1"/>
  <c r="K110" i="1" s="1"/>
  <c r="H142" i="1"/>
  <c r="J142" i="1" s="1"/>
  <c r="K142" i="1" s="1"/>
  <c r="H174" i="1"/>
  <c r="J174" i="1" s="1"/>
  <c r="K174" i="1" s="1"/>
  <c r="H206" i="1"/>
  <c r="J206" i="1" s="1"/>
  <c r="K206" i="1" s="1"/>
  <c r="H238" i="1"/>
  <c r="J238" i="1" s="1"/>
  <c r="K238" i="1" s="1"/>
  <c r="H270" i="1"/>
  <c r="J270" i="1" s="1"/>
  <c r="K270" i="1" s="1"/>
  <c r="H302" i="1"/>
  <c r="J302" i="1" s="1"/>
  <c r="K302" i="1" s="1"/>
  <c r="H334" i="1"/>
  <c r="J334" i="1" s="1"/>
  <c r="K334" i="1" s="1"/>
  <c r="H366" i="1"/>
  <c r="J366" i="1" s="1"/>
  <c r="K366" i="1" s="1"/>
  <c r="H398" i="1"/>
  <c r="J398" i="1" s="1"/>
  <c r="K398" i="1" s="1"/>
  <c r="H438" i="1"/>
  <c r="J438" i="1" s="1"/>
  <c r="K438" i="1" s="1"/>
  <c r="H470" i="1"/>
  <c r="J470" i="1" s="1"/>
  <c r="K470" i="1" s="1"/>
  <c r="H502" i="1"/>
  <c r="J502" i="1" s="1"/>
  <c r="K502" i="1" s="1"/>
  <c r="H534" i="1"/>
  <c r="J534" i="1" s="1"/>
  <c r="K534" i="1" s="1"/>
  <c r="H566" i="1"/>
  <c r="J566" i="1" s="1"/>
  <c r="K566" i="1" s="1"/>
  <c r="H598" i="1"/>
  <c r="J598" i="1" s="1"/>
  <c r="K598" i="1" s="1"/>
  <c r="H670" i="1"/>
  <c r="J670" i="1" s="1"/>
  <c r="K670" i="1" s="1"/>
  <c r="H726" i="1"/>
  <c r="J726" i="1" s="1"/>
  <c r="K726" i="1" s="1"/>
  <c r="H790" i="1"/>
  <c r="J790" i="1" s="1"/>
  <c r="K790" i="1" s="1"/>
  <c r="H854" i="1"/>
  <c r="J854" i="1" s="1"/>
  <c r="K854" i="1" s="1"/>
  <c r="H926" i="1"/>
  <c r="J926" i="1" s="1"/>
  <c r="K926" i="1" s="1"/>
  <c r="H982" i="1"/>
  <c r="J982" i="1" s="1"/>
  <c r="K982" i="1" s="1"/>
  <c r="H44" i="1"/>
  <c r="J44" i="1" s="1"/>
  <c r="K44" i="1" s="1"/>
  <c r="H108" i="1"/>
  <c r="J108" i="1" s="1"/>
  <c r="K108" i="1" s="1"/>
  <c r="H172" i="1"/>
  <c r="J172" i="1" s="1"/>
  <c r="K172" i="1" s="1"/>
  <c r="H228" i="1"/>
  <c r="J228" i="1" s="1"/>
  <c r="K228" i="1" s="1"/>
  <c r="H300" i="1"/>
  <c r="J300" i="1" s="1"/>
  <c r="K300" i="1" s="1"/>
  <c r="H372" i="1"/>
  <c r="J372" i="1" s="1"/>
  <c r="K372" i="1" s="1"/>
  <c r="H444" i="1"/>
  <c r="J444" i="1" s="1"/>
  <c r="K444" i="1" s="1"/>
  <c r="H516" i="1"/>
  <c r="J516" i="1" s="1"/>
  <c r="K516" i="1" s="1"/>
  <c r="H580" i="1"/>
  <c r="J580" i="1" s="1"/>
  <c r="K580" i="1" s="1"/>
  <c r="H636" i="1"/>
  <c r="J636" i="1" s="1"/>
  <c r="K636" i="1" s="1"/>
  <c r="H700" i="1"/>
  <c r="J700" i="1" s="1"/>
  <c r="K700" i="1" s="1"/>
  <c r="H756" i="1"/>
  <c r="J756" i="1" s="1"/>
  <c r="K756" i="1" s="1"/>
  <c r="H820" i="1"/>
  <c r="J820" i="1" s="1"/>
  <c r="K820" i="1" s="1"/>
  <c r="H876" i="1"/>
  <c r="J876" i="1" s="1"/>
  <c r="K876" i="1" s="1"/>
  <c r="H940" i="1"/>
  <c r="J940" i="1" s="1"/>
  <c r="K940" i="1" s="1"/>
  <c r="H631" i="1"/>
  <c r="J631" i="1" s="1"/>
  <c r="K631" i="1" s="1"/>
  <c r="H457" i="1"/>
  <c r="J457" i="1" s="1"/>
  <c r="K457" i="1" s="1"/>
  <c r="H219" i="1"/>
  <c r="J219" i="1" s="1"/>
  <c r="K219" i="1" s="1"/>
  <c r="H931" i="1"/>
  <c r="J931" i="1" s="1"/>
  <c r="K931" i="1" s="1"/>
  <c r="H991" i="1"/>
  <c r="J991" i="1" s="1"/>
  <c r="K991" i="1" s="1"/>
  <c r="H5" i="1"/>
  <c r="J5" i="1" s="1"/>
  <c r="K5" i="1" s="1"/>
  <c r="H197" i="1"/>
  <c r="J197" i="1" s="1"/>
  <c r="K197" i="1" s="1"/>
  <c r="H229" i="1"/>
  <c r="J229" i="1" s="1"/>
  <c r="K229" i="1" s="1"/>
  <c r="H261" i="1"/>
  <c r="J261" i="1" s="1"/>
  <c r="K261" i="1" s="1"/>
  <c r="H357" i="1"/>
  <c r="J357" i="1" s="1"/>
  <c r="K357" i="1" s="1"/>
  <c r="H485" i="1"/>
  <c r="J485" i="1" s="1"/>
  <c r="K485" i="1" s="1"/>
  <c r="H517" i="1"/>
  <c r="J517" i="1" s="1"/>
  <c r="K517" i="1" s="1"/>
  <c r="H549" i="1"/>
  <c r="J549" i="1" s="1"/>
  <c r="K549" i="1" s="1"/>
  <c r="H581" i="1"/>
  <c r="J581" i="1" s="1"/>
  <c r="K581" i="1" s="1"/>
  <c r="H613" i="1"/>
  <c r="J613" i="1" s="1"/>
  <c r="K613" i="1" s="1"/>
  <c r="H645" i="1"/>
  <c r="J645" i="1" s="1"/>
  <c r="K645" i="1" s="1"/>
  <c r="H677" i="1"/>
  <c r="J677" i="1" s="1"/>
  <c r="K677" i="1" s="1"/>
  <c r="H709" i="1"/>
  <c r="J709" i="1" s="1"/>
  <c r="K709" i="1" s="1"/>
  <c r="H741" i="1"/>
  <c r="J741" i="1" s="1"/>
  <c r="K741" i="1" s="1"/>
  <c r="H773" i="1"/>
  <c r="J773" i="1" s="1"/>
  <c r="K773" i="1" s="1"/>
  <c r="H805" i="1"/>
  <c r="J805" i="1" s="1"/>
  <c r="K805" i="1" s="1"/>
  <c r="H837" i="1"/>
  <c r="J837" i="1" s="1"/>
  <c r="K837" i="1" s="1"/>
  <c r="H20" i="1"/>
  <c r="J20" i="1" s="1"/>
  <c r="K20" i="1" s="1"/>
  <c r="H84" i="1"/>
  <c r="J84" i="1" s="1"/>
  <c r="K84" i="1" s="1"/>
  <c r="H148" i="1"/>
  <c r="J148" i="1" s="1"/>
  <c r="K148" i="1" s="1"/>
  <c r="H212" i="1"/>
  <c r="J212" i="1" s="1"/>
  <c r="K212" i="1" s="1"/>
  <c r="H276" i="1"/>
  <c r="J276" i="1" s="1"/>
  <c r="K276" i="1" s="1"/>
  <c r="H340" i="1"/>
  <c r="J340" i="1" s="1"/>
  <c r="K340" i="1" s="1"/>
  <c r="H396" i="1"/>
  <c r="J396" i="1" s="1"/>
  <c r="K396" i="1" s="1"/>
  <c r="H452" i="1"/>
  <c r="J452" i="1" s="1"/>
  <c r="K452" i="1" s="1"/>
  <c r="H508" i="1"/>
  <c r="J508" i="1" s="1"/>
  <c r="K508" i="1" s="1"/>
  <c r="H572" i="1"/>
  <c r="J572" i="1" s="1"/>
  <c r="K572" i="1" s="1"/>
  <c r="H644" i="1"/>
  <c r="J644" i="1" s="1"/>
  <c r="K644" i="1" s="1"/>
  <c r="H716" i="1"/>
  <c r="J716" i="1" s="1"/>
  <c r="K716" i="1" s="1"/>
  <c r="H780" i="1"/>
  <c r="J780" i="1" s="1"/>
  <c r="K780" i="1" s="1"/>
  <c r="H852" i="1"/>
  <c r="J852" i="1" s="1"/>
  <c r="K852" i="1" s="1"/>
  <c r="H908" i="1"/>
  <c r="J908" i="1" s="1"/>
  <c r="K908" i="1" s="1"/>
  <c r="H972" i="1"/>
  <c r="J972" i="1" s="1"/>
  <c r="K972" i="1" s="1"/>
  <c r="H877" i="1"/>
  <c r="J877" i="1" s="1"/>
  <c r="K877" i="1" s="1"/>
  <c r="H909" i="1"/>
  <c r="J909" i="1" s="1"/>
  <c r="K909" i="1" s="1"/>
  <c r="H941" i="1"/>
  <c r="J941" i="1" s="1"/>
  <c r="K941" i="1" s="1"/>
  <c r="H973" i="1"/>
  <c r="J973" i="1" s="1"/>
  <c r="K973" i="1" s="1"/>
  <c r="H406" i="1"/>
  <c r="J406" i="1" s="1"/>
  <c r="K406" i="1" s="1"/>
  <c r="H646" i="1"/>
  <c r="J646" i="1" s="1"/>
  <c r="K646" i="1" s="1"/>
  <c r="H718" i="1"/>
  <c r="J718" i="1" s="1"/>
  <c r="K718" i="1" s="1"/>
  <c r="H782" i="1"/>
  <c r="J782" i="1" s="1"/>
  <c r="K782" i="1" s="1"/>
  <c r="H846" i="1"/>
  <c r="J846" i="1" s="1"/>
  <c r="K846" i="1" s="1"/>
  <c r="H902" i="1"/>
  <c r="J902" i="1" s="1"/>
  <c r="K902" i="1" s="1"/>
  <c r="H974" i="1"/>
  <c r="J974" i="1" s="1"/>
  <c r="K974" i="1" s="1"/>
  <c r="H22" i="1"/>
  <c r="J22" i="1" s="1"/>
  <c r="K22" i="1" s="1"/>
  <c r="H54" i="1"/>
  <c r="J54" i="1" s="1"/>
  <c r="K54" i="1" s="1"/>
  <c r="H86" i="1"/>
  <c r="J86" i="1" s="1"/>
  <c r="K86" i="1" s="1"/>
  <c r="H118" i="1"/>
  <c r="J118" i="1" s="1"/>
  <c r="K118" i="1" s="1"/>
  <c r="H150" i="1"/>
  <c r="J150" i="1" s="1"/>
  <c r="K150" i="1" s="1"/>
  <c r="H182" i="1"/>
  <c r="J182" i="1" s="1"/>
  <c r="K182" i="1" s="1"/>
  <c r="H214" i="1"/>
  <c r="J214" i="1" s="1"/>
  <c r="K214" i="1" s="1"/>
  <c r="H246" i="1"/>
  <c r="J246" i="1" s="1"/>
  <c r="K246" i="1" s="1"/>
  <c r="H278" i="1"/>
  <c r="J278" i="1" s="1"/>
  <c r="K278" i="1" s="1"/>
  <c r="H310" i="1"/>
  <c r="J310" i="1" s="1"/>
  <c r="K310" i="1" s="1"/>
  <c r="H342" i="1"/>
  <c r="J342" i="1" s="1"/>
  <c r="K342" i="1" s="1"/>
  <c r="H374" i="1"/>
  <c r="J374" i="1" s="1"/>
  <c r="K374" i="1" s="1"/>
  <c r="H414" i="1"/>
  <c r="J414" i="1" s="1"/>
  <c r="K414" i="1" s="1"/>
  <c r="H446" i="1"/>
  <c r="J446" i="1" s="1"/>
  <c r="K446" i="1" s="1"/>
  <c r="H478" i="1"/>
  <c r="J478" i="1" s="1"/>
  <c r="K478" i="1" s="1"/>
  <c r="H510" i="1"/>
  <c r="J510" i="1" s="1"/>
  <c r="K510" i="1" s="1"/>
  <c r="H542" i="1"/>
  <c r="J542" i="1" s="1"/>
  <c r="K542" i="1" s="1"/>
  <c r="H574" i="1"/>
  <c r="J574" i="1" s="1"/>
  <c r="K574" i="1" s="1"/>
  <c r="H614" i="1"/>
  <c r="J614" i="1" s="1"/>
  <c r="K614" i="1" s="1"/>
  <c r="H678" i="1"/>
  <c r="J678" i="1" s="1"/>
  <c r="K678" i="1" s="1"/>
  <c r="H742" i="1"/>
  <c r="J742" i="1" s="1"/>
  <c r="K742" i="1" s="1"/>
  <c r="H798" i="1"/>
  <c r="J798" i="1" s="1"/>
  <c r="K798" i="1" s="1"/>
  <c r="H870" i="1"/>
  <c r="J870" i="1" s="1"/>
  <c r="K870" i="1" s="1"/>
  <c r="H942" i="1"/>
  <c r="J942" i="1" s="1"/>
  <c r="K942" i="1" s="1"/>
  <c r="H998" i="1"/>
  <c r="J998" i="1" s="1"/>
  <c r="K998" i="1" s="1"/>
  <c r="H60" i="1"/>
  <c r="J60" i="1" s="1"/>
  <c r="K60" i="1" s="1"/>
  <c r="H124" i="1"/>
  <c r="J124" i="1" s="1"/>
  <c r="K124" i="1" s="1"/>
  <c r="H188" i="1"/>
  <c r="J188" i="1" s="1"/>
  <c r="K188" i="1" s="1"/>
  <c r="H244" i="1"/>
  <c r="J244" i="1" s="1"/>
  <c r="K244" i="1" s="1"/>
  <c r="H316" i="1"/>
  <c r="J316" i="1" s="1"/>
  <c r="K316" i="1" s="1"/>
  <c r="H388" i="1"/>
  <c r="J388" i="1" s="1"/>
  <c r="K388" i="1" s="1"/>
  <c r="H460" i="1"/>
  <c r="J460" i="1" s="1"/>
  <c r="K460" i="1" s="1"/>
  <c r="H532" i="1"/>
  <c r="J532" i="1" s="1"/>
  <c r="K532" i="1" s="1"/>
  <c r="H596" i="1"/>
  <c r="J596" i="1" s="1"/>
  <c r="K596" i="1" s="1"/>
  <c r="H652" i="1"/>
  <c r="J652" i="1" s="1"/>
  <c r="K652" i="1" s="1"/>
  <c r="H708" i="1"/>
  <c r="J708" i="1" s="1"/>
  <c r="K708" i="1" s="1"/>
  <c r="H772" i="1"/>
  <c r="J772" i="1" s="1"/>
  <c r="K772" i="1" s="1"/>
  <c r="H836" i="1"/>
  <c r="J836" i="1" s="1"/>
  <c r="K836" i="1" s="1"/>
  <c r="H900" i="1"/>
  <c r="J900" i="1" s="1"/>
  <c r="K900" i="1" s="1"/>
  <c r="H956" i="1"/>
  <c r="J956" i="1" s="1"/>
  <c r="K956" i="1" s="1"/>
  <c r="H769" i="1"/>
  <c r="J769" i="1" s="1"/>
  <c r="K769" i="1" s="1"/>
  <c r="H79" i="1"/>
  <c r="J79" i="1" s="1"/>
  <c r="K79" i="1" s="1"/>
  <c r="H327" i="1"/>
  <c r="J327" i="1" s="1"/>
  <c r="K327" i="1" s="1"/>
  <c r="H543" i="1"/>
  <c r="J543" i="1" s="1"/>
  <c r="K543" i="1" s="1"/>
  <c r="H815" i="1"/>
  <c r="J815" i="1" s="1"/>
  <c r="K815" i="1" s="1"/>
  <c r="H336" i="1"/>
  <c r="J336" i="1" s="1"/>
  <c r="K336" i="1" s="1"/>
  <c r="H97" i="1"/>
  <c r="J97" i="1" s="1"/>
  <c r="K97" i="1" s="1"/>
  <c r="H369" i="1"/>
  <c r="J369" i="1" s="1"/>
  <c r="K369" i="1" s="1"/>
  <c r="H199" i="1"/>
  <c r="J199" i="1" s="1"/>
  <c r="K199" i="1" s="1"/>
  <c r="H114" i="1"/>
  <c r="J114" i="1" s="1"/>
  <c r="K114" i="1" s="1"/>
  <c r="H458" i="1"/>
  <c r="J458" i="1" s="1"/>
  <c r="K458" i="1" s="1"/>
  <c r="H680" i="1"/>
  <c r="J680" i="1" s="1"/>
  <c r="K680" i="1" s="1"/>
  <c r="H131" i="1"/>
  <c r="J131" i="1" s="1"/>
  <c r="K131" i="1" s="1"/>
  <c r="H299" i="1"/>
  <c r="J299" i="1" s="1"/>
  <c r="K299" i="1" s="1"/>
  <c r="H555" i="1"/>
  <c r="J555" i="1" s="1"/>
  <c r="K555" i="1" s="1"/>
  <c r="H987" i="1"/>
  <c r="J987" i="1" s="1"/>
  <c r="K987" i="1" s="1"/>
  <c r="H779" i="1"/>
  <c r="J779" i="1" s="1"/>
  <c r="K779" i="1" s="1"/>
  <c r="H907" i="1"/>
  <c r="J907" i="1" s="1"/>
  <c r="K907" i="1" s="1"/>
  <c r="H168" i="1"/>
  <c r="J168" i="1" s="1"/>
  <c r="K168" i="1" s="1"/>
  <c r="H328" i="1"/>
  <c r="J328" i="1" s="1"/>
  <c r="K328" i="1" s="1"/>
  <c r="H544" i="1"/>
  <c r="J544" i="1" s="1"/>
  <c r="K544" i="1" s="1"/>
  <c r="H378" i="1"/>
  <c r="J378" i="1" s="1"/>
  <c r="K378" i="1" s="1"/>
  <c r="H1000" i="1"/>
  <c r="J1000" i="1" s="1"/>
  <c r="K1000" i="1" s="1"/>
  <c r="H250" i="1"/>
  <c r="J250" i="1" s="1"/>
  <c r="K250" i="1" s="1"/>
  <c r="H919" i="1"/>
  <c r="J919" i="1" s="1"/>
  <c r="K919" i="1" s="1"/>
  <c r="H690" i="1"/>
  <c r="J690" i="1" s="1"/>
  <c r="K690" i="1" s="1"/>
  <c r="H841" i="1"/>
  <c r="J841" i="1" s="1"/>
  <c r="K841" i="1" s="1"/>
  <c r="H528" i="1"/>
  <c r="J528" i="1" s="1"/>
  <c r="K528" i="1" s="1"/>
  <c r="H714" i="1"/>
  <c r="J714" i="1" s="1"/>
  <c r="K714" i="1" s="1"/>
  <c r="H133" i="1"/>
  <c r="J133" i="1" s="1"/>
  <c r="K133" i="1" s="1"/>
  <c r="H421" i="1"/>
  <c r="J421" i="1" s="1"/>
  <c r="K421" i="1" s="1"/>
  <c r="H705" i="1"/>
  <c r="J705" i="1" s="1"/>
  <c r="K705" i="1" s="1"/>
  <c r="H696" i="1"/>
  <c r="J696" i="1" s="1"/>
  <c r="K696" i="1" s="1"/>
  <c r="H7" i="1"/>
  <c r="J7" i="1" s="1"/>
  <c r="K7" i="1" s="1"/>
  <c r="H39" i="1"/>
  <c r="J39" i="1" s="1"/>
  <c r="K39" i="1" s="1"/>
  <c r="H87" i="1"/>
  <c r="J87" i="1" s="1"/>
  <c r="K87" i="1" s="1"/>
  <c r="H127" i="1"/>
  <c r="J127" i="1" s="1"/>
  <c r="K127" i="1" s="1"/>
  <c r="H167" i="1"/>
  <c r="J167" i="1" s="1"/>
  <c r="K167" i="1" s="1"/>
  <c r="H215" i="1"/>
  <c r="J215" i="1" s="1"/>
  <c r="K215" i="1" s="1"/>
  <c r="H255" i="1"/>
  <c r="J255" i="1" s="1"/>
  <c r="K255" i="1" s="1"/>
  <c r="H295" i="1"/>
  <c r="J295" i="1" s="1"/>
  <c r="K295" i="1" s="1"/>
  <c r="H343" i="1"/>
  <c r="J343" i="1" s="1"/>
  <c r="K343" i="1" s="1"/>
  <c r="H383" i="1"/>
  <c r="J383" i="1" s="1"/>
  <c r="K383" i="1" s="1"/>
  <c r="H423" i="1"/>
  <c r="J423" i="1" s="1"/>
  <c r="K423" i="1" s="1"/>
  <c r="H471" i="1"/>
  <c r="J471" i="1" s="1"/>
  <c r="K471" i="1" s="1"/>
  <c r="H511" i="1"/>
  <c r="J511" i="1" s="1"/>
  <c r="K511" i="1" s="1"/>
  <c r="H551" i="1"/>
  <c r="J551" i="1" s="1"/>
  <c r="K551" i="1" s="1"/>
  <c r="H599" i="1"/>
  <c r="J599" i="1" s="1"/>
  <c r="K599" i="1" s="1"/>
  <c r="H639" i="1"/>
  <c r="J639" i="1" s="1"/>
  <c r="K639" i="1" s="1"/>
  <c r="H288" i="1"/>
  <c r="J288" i="1" s="1"/>
  <c r="K288" i="1" s="1"/>
  <c r="H663" i="1"/>
  <c r="J663" i="1" s="1"/>
  <c r="K663" i="1" s="1"/>
  <c r="H751" i="1"/>
  <c r="J751" i="1" s="1"/>
  <c r="K751" i="1" s="1"/>
  <c r="H835" i="1"/>
  <c r="J835" i="1" s="1"/>
  <c r="K835" i="1" s="1"/>
  <c r="H935" i="1"/>
  <c r="J935" i="1" s="1"/>
  <c r="K935" i="1" s="1"/>
  <c r="H999" i="1"/>
  <c r="J999" i="1" s="1"/>
  <c r="K999" i="1" s="1"/>
  <c r="H464" i="1"/>
  <c r="J464" i="1" s="1"/>
  <c r="K464" i="1" s="1"/>
  <c r="H698" i="1"/>
  <c r="J698" i="1" s="1"/>
  <c r="K698" i="1" s="1"/>
  <c r="H826" i="1"/>
  <c r="J826" i="1" s="1"/>
  <c r="K826" i="1" s="1"/>
  <c r="H944" i="1"/>
  <c r="J944" i="1" s="1"/>
  <c r="K944" i="1" s="1"/>
  <c r="H9" i="1"/>
  <c r="J9" i="1" s="1"/>
  <c r="K9" i="1" s="1"/>
  <c r="H41" i="1"/>
  <c r="J41" i="1" s="1"/>
  <c r="K41" i="1" s="1"/>
  <c r="H73" i="1"/>
  <c r="J73" i="1" s="1"/>
  <c r="K73" i="1" s="1"/>
  <c r="H105" i="1"/>
  <c r="J105" i="1" s="1"/>
  <c r="K105" i="1" s="1"/>
  <c r="H137" i="1"/>
  <c r="J137" i="1" s="1"/>
  <c r="K137" i="1" s="1"/>
  <c r="H169" i="1"/>
  <c r="J169" i="1" s="1"/>
  <c r="K169" i="1" s="1"/>
  <c r="H201" i="1"/>
  <c r="J201" i="1" s="1"/>
  <c r="K201" i="1" s="1"/>
  <c r="H233" i="1"/>
  <c r="J233" i="1" s="1"/>
  <c r="K233" i="1" s="1"/>
  <c r="H265" i="1"/>
  <c r="J265" i="1" s="1"/>
  <c r="K265" i="1" s="1"/>
  <c r="H297" i="1"/>
  <c r="J297" i="1" s="1"/>
  <c r="K297" i="1" s="1"/>
  <c r="H337" i="1"/>
  <c r="J337" i="1" s="1"/>
  <c r="K337" i="1" s="1"/>
  <c r="H385" i="1"/>
  <c r="J385" i="1" s="1"/>
  <c r="K385" i="1" s="1"/>
  <c r="H425" i="1"/>
  <c r="J425" i="1" s="1"/>
  <c r="K425" i="1" s="1"/>
  <c r="H465" i="1"/>
  <c r="J465" i="1" s="1"/>
  <c r="K465" i="1" s="1"/>
  <c r="H513" i="1"/>
  <c r="J513" i="1" s="1"/>
  <c r="K513" i="1" s="1"/>
  <c r="H553" i="1"/>
  <c r="J553" i="1" s="1"/>
  <c r="K553" i="1" s="1"/>
  <c r="H593" i="1"/>
  <c r="J593" i="1" s="1"/>
  <c r="K593" i="1" s="1"/>
  <c r="H641" i="1"/>
  <c r="J641" i="1" s="1"/>
  <c r="K641" i="1" s="1"/>
  <c r="H345" i="1"/>
  <c r="J345" i="1" s="1"/>
  <c r="K345" i="1" s="1"/>
  <c r="H651" i="1"/>
  <c r="J651" i="1" s="1"/>
  <c r="K651" i="1" s="1"/>
  <c r="H743" i="1"/>
  <c r="J743" i="1" s="1"/>
  <c r="K743" i="1" s="1"/>
  <c r="H827" i="1"/>
  <c r="J827" i="1" s="1"/>
  <c r="K827" i="1" s="1"/>
  <c r="H928" i="1"/>
  <c r="J928" i="1" s="1"/>
  <c r="K928" i="1" s="1"/>
  <c r="H993" i="1"/>
  <c r="J993" i="1" s="1"/>
  <c r="K993" i="1" s="1"/>
  <c r="H42" i="1"/>
  <c r="J42" i="1" s="1"/>
  <c r="K42" i="1" s="1"/>
  <c r="H82" i="1"/>
  <c r="J82" i="1" s="1"/>
  <c r="K82" i="1" s="1"/>
  <c r="H130" i="1"/>
  <c r="J130" i="1" s="1"/>
  <c r="K130" i="1" s="1"/>
  <c r="H170" i="1"/>
  <c r="J170" i="1" s="1"/>
  <c r="K170" i="1" s="1"/>
  <c r="H210" i="1"/>
  <c r="J210" i="1" s="1"/>
  <c r="K210" i="1" s="1"/>
  <c r="H258" i="1"/>
  <c r="J258" i="1" s="1"/>
  <c r="K258" i="1" s="1"/>
  <c r="H298" i="1"/>
  <c r="J298" i="1" s="1"/>
  <c r="K298" i="1" s="1"/>
  <c r="H338" i="1"/>
  <c r="J338" i="1" s="1"/>
  <c r="K338" i="1" s="1"/>
  <c r="H386" i="1"/>
  <c r="J386" i="1" s="1"/>
  <c r="K386" i="1" s="1"/>
  <c r="H426" i="1"/>
  <c r="J426" i="1" s="1"/>
  <c r="K426" i="1" s="1"/>
  <c r="H466" i="1"/>
  <c r="J466" i="1" s="1"/>
  <c r="K466" i="1" s="1"/>
  <c r="H514" i="1"/>
  <c r="J514" i="1" s="1"/>
  <c r="K514" i="1" s="1"/>
  <c r="H554" i="1"/>
  <c r="J554" i="1" s="1"/>
  <c r="K554" i="1" s="1"/>
  <c r="H594" i="1"/>
  <c r="J594" i="1" s="1"/>
  <c r="K594" i="1" s="1"/>
  <c r="H658" i="1"/>
  <c r="J658" i="1" s="1"/>
  <c r="K658" i="1" s="1"/>
  <c r="H432" i="1"/>
  <c r="J432" i="1" s="1"/>
  <c r="K432" i="1" s="1"/>
  <c r="H712" i="1"/>
  <c r="J712" i="1" s="1"/>
  <c r="K712" i="1" s="1"/>
  <c r="H840" i="1"/>
  <c r="J840" i="1" s="1"/>
  <c r="K840" i="1" s="1"/>
  <c r="H946" i="1"/>
  <c r="J946" i="1" s="1"/>
  <c r="K946" i="1" s="1"/>
  <c r="H11" i="1"/>
  <c r="J11" i="1" s="1"/>
  <c r="K11" i="1" s="1"/>
  <c r="H51" i="1"/>
  <c r="J51" i="1" s="1"/>
  <c r="K51" i="1" s="1"/>
  <c r="H99" i="1"/>
  <c r="J99" i="1" s="1"/>
  <c r="K99" i="1" s="1"/>
  <c r="H139" i="1"/>
  <c r="J139" i="1" s="1"/>
  <c r="K139" i="1" s="1"/>
  <c r="H179" i="1"/>
  <c r="J179" i="1" s="1"/>
  <c r="K179" i="1" s="1"/>
  <c r="H227" i="1"/>
  <c r="J227" i="1" s="1"/>
  <c r="K227" i="1" s="1"/>
  <c r="H267" i="1"/>
  <c r="J267" i="1" s="1"/>
  <c r="K267" i="1" s="1"/>
  <c r="H307" i="1"/>
  <c r="J307" i="1" s="1"/>
  <c r="K307" i="1" s="1"/>
  <c r="H347" i="1"/>
  <c r="J347" i="1" s="1"/>
  <c r="K347" i="1" s="1"/>
  <c r="H395" i="1"/>
  <c r="J395" i="1" s="1"/>
  <c r="K395" i="1" s="1"/>
  <c r="H435" i="1"/>
  <c r="J435" i="1" s="1"/>
  <c r="K435" i="1" s="1"/>
  <c r="H475" i="1"/>
  <c r="J475" i="1" s="1"/>
  <c r="K475" i="1" s="1"/>
  <c r="H523" i="1"/>
  <c r="J523" i="1" s="1"/>
  <c r="K523" i="1" s="1"/>
  <c r="H563" i="1"/>
  <c r="J563" i="1" s="1"/>
  <c r="K563" i="1" s="1"/>
  <c r="H603" i="1"/>
  <c r="J603" i="1" s="1"/>
  <c r="K603" i="1" s="1"/>
  <c r="H667" i="1"/>
  <c r="J667" i="1" s="1"/>
  <c r="K667" i="1" s="1"/>
  <c r="H399" i="1"/>
  <c r="J399" i="1" s="1"/>
  <c r="K399" i="1" s="1"/>
  <c r="H681" i="1"/>
  <c r="J681" i="1" s="1"/>
  <c r="K681" i="1" s="1"/>
  <c r="H767" i="1"/>
  <c r="J767" i="1" s="1"/>
  <c r="K767" i="1" s="1"/>
  <c r="H851" i="1"/>
  <c r="J851" i="1" s="1"/>
  <c r="K851" i="1" s="1"/>
  <c r="H939" i="1"/>
  <c r="J939" i="1" s="1"/>
  <c r="K939" i="1" s="1"/>
  <c r="H59" i="1"/>
  <c r="J59" i="1" s="1"/>
  <c r="K59" i="1" s="1"/>
  <c r="H570" i="1"/>
  <c r="J570" i="1" s="1"/>
  <c r="K570" i="1" s="1"/>
  <c r="H736" i="1"/>
  <c r="J736" i="1" s="1"/>
  <c r="K736" i="1" s="1"/>
  <c r="H864" i="1"/>
  <c r="J864" i="1" s="1"/>
  <c r="K864" i="1" s="1"/>
  <c r="H72" i="1"/>
  <c r="J72" i="1" s="1"/>
  <c r="K72" i="1" s="1"/>
  <c r="H119" i="1"/>
  <c r="J119" i="1" s="1"/>
  <c r="K119" i="1" s="1"/>
  <c r="H375" i="1"/>
  <c r="J375" i="1" s="1"/>
  <c r="K375" i="1" s="1"/>
  <c r="H583" i="1"/>
  <c r="J583" i="1" s="1"/>
  <c r="K583" i="1" s="1"/>
  <c r="H794" i="1"/>
  <c r="J794" i="1" s="1"/>
  <c r="K794" i="1" s="1"/>
  <c r="H65" i="1"/>
  <c r="J65" i="1" s="1"/>
  <c r="K65" i="1" s="1"/>
  <c r="H257" i="1"/>
  <c r="J257" i="1" s="1"/>
  <c r="K257" i="1" s="1"/>
  <c r="H497" i="1"/>
  <c r="J497" i="1" s="1"/>
  <c r="K497" i="1" s="1"/>
  <c r="H807" i="1"/>
  <c r="J807" i="1" s="1"/>
  <c r="K807" i="1" s="1"/>
  <c r="H26" i="1"/>
  <c r="J26" i="1" s="1"/>
  <c r="K26" i="1" s="1"/>
  <c r="H202" i="1"/>
  <c r="J202" i="1" s="1"/>
  <c r="K202" i="1" s="1"/>
  <c r="H498" i="1"/>
  <c r="J498" i="1" s="1"/>
  <c r="K498" i="1" s="1"/>
  <c r="H650" i="1"/>
  <c r="J650" i="1" s="1"/>
  <c r="K650" i="1" s="1"/>
  <c r="H43" i="1"/>
  <c r="J43" i="1" s="1"/>
  <c r="K43" i="1" s="1"/>
  <c r="H339" i="1"/>
  <c r="J339" i="1" s="1"/>
  <c r="K339" i="1" s="1"/>
  <c r="H595" i="1"/>
  <c r="J595" i="1" s="1"/>
  <c r="K595" i="1" s="1"/>
  <c r="H831" i="1"/>
  <c r="J831" i="1" s="1"/>
  <c r="K831" i="1" s="1"/>
  <c r="H71" i="1"/>
  <c r="J71" i="1" s="1"/>
  <c r="K71" i="1" s="1"/>
  <c r="H186" i="1"/>
  <c r="J186" i="1" s="1"/>
  <c r="K186" i="1" s="1"/>
  <c r="H825" i="1"/>
  <c r="J825" i="1" s="1"/>
  <c r="K825" i="1" s="1"/>
  <c r="H120" i="1"/>
  <c r="J120" i="1" s="1"/>
  <c r="K120" i="1" s="1"/>
  <c r="H296" i="1"/>
  <c r="J296" i="1" s="1"/>
  <c r="K296" i="1" s="1"/>
  <c r="H504" i="1"/>
  <c r="J504" i="1" s="1"/>
  <c r="K504" i="1" s="1"/>
  <c r="H648" i="1"/>
  <c r="J648" i="1" s="1"/>
  <c r="K648" i="1" s="1"/>
  <c r="H817" i="1"/>
  <c r="J817" i="1" s="1"/>
  <c r="K817" i="1" s="1"/>
  <c r="H818" i="1"/>
  <c r="J818" i="1" s="1"/>
  <c r="K818" i="1" s="1"/>
  <c r="H655" i="1"/>
  <c r="J655" i="1" s="1"/>
  <c r="K655" i="1" s="1"/>
  <c r="H930" i="1"/>
  <c r="J930" i="1" s="1"/>
  <c r="K930" i="1" s="1"/>
  <c r="H842" i="1"/>
  <c r="J842" i="1" s="1"/>
  <c r="K842" i="1" s="1"/>
  <c r="H165" i="1"/>
  <c r="J165" i="1" s="1"/>
  <c r="K165" i="1" s="1"/>
  <c r="H325" i="1"/>
  <c r="J325" i="1" s="1"/>
  <c r="K325" i="1" s="1"/>
  <c r="H122" i="1"/>
  <c r="J122" i="1" s="1"/>
  <c r="K122" i="1" s="1"/>
  <c r="H175" i="1"/>
  <c r="J175" i="1" s="1"/>
  <c r="K175" i="1" s="1"/>
  <c r="H715" i="1"/>
  <c r="J715" i="1" s="1"/>
  <c r="K715" i="1" s="1"/>
  <c r="H706" i="1"/>
  <c r="J706" i="1" s="1"/>
  <c r="K706" i="1" s="1"/>
  <c r="H335" i="1"/>
  <c r="J335" i="1" s="1"/>
  <c r="K335" i="1" s="1"/>
  <c r="H674" i="1"/>
  <c r="J674" i="1" s="1"/>
  <c r="K674" i="1" s="1"/>
  <c r="H761" i="1"/>
  <c r="J761" i="1" s="1"/>
  <c r="K761" i="1" s="1"/>
  <c r="H847" i="1"/>
  <c r="J847" i="1" s="1"/>
  <c r="K847" i="1" s="1"/>
  <c r="H943" i="1"/>
  <c r="J943" i="1" s="1"/>
  <c r="K943" i="1" s="1"/>
  <c r="H8" i="1"/>
  <c r="J8" i="1" s="1"/>
  <c r="K8" i="1" s="1"/>
  <c r="H48" i="1"/>
  <c r="J48" i="1" s="1"/>
  <c r="K48" i="1" s="1"/>
  <c r="H88" i="1"/>
  <c r="J88" i="1" s="1"/>
  <c r="K88" i="1" s="1"/>
  <c r="H128" i="1"/>
  <c r="J128" i="1" s="1"/>
  <c r="K128" i="1" s="1"/>
  <c r="H176" i="1"/>
  <c r="J176" i="1" s="1"/>
  <c r="K176" i="1" s="1"/>
  <c r="H216" i="1"/>
  <c r="J216" i="1" s="1"/>
  <c r="K216" i="1" s="1"/>
  <c r="H256" i="1"/>
  <c r="J256" i="1" s="1"/>
  <c r="K256" i="1" s="1"/>
  <c r="H304" i="1"/>
  <c r="J304" i="1" s="1"/>
  <c r="K304" i="1" s="1"/>
  <c r="H344" i="1"/>
  <c r="J344" i="1" s="1"/>
  <c r="K344" i="1" s="1"/>
  <c r="H384" i="1"/>
  <c r="J384" i="1" s="1"/>
  <c r="K384" i="1" s="1"/>
  <c r="H424" i="1"/>
  <c r="J424" i="1" s="1"/>
  <c r="K424" i="1" s="1"/>
  <c r="H472" i="1"/>
  <c r="J472" i="1" s="1"/>
  <c r="K472" i="1" s="1"/>
  <c r="H512" i="1"/>
  <c r="J512" i="1" s="1"/>
  <c r="K512" i="1" s="1"/>
  <c r="H552" i="1"/>
  <c r="J552" i="1" s="1"/>
  <c r="K552" i="1" s="1"/>
  <c r="H608" i="1"/>
  <c r="J608" i="1" s="1"/>
  <c r="K608" i="1" s="1"/>
  <c r="H34" i="1"/>
  <c r="J34" i="1" s="1"/>
  <c r="K34" i="1" s="1"/>
  <c r="H506" i="1"/>
  <c r="J506" i="1" s="1"/>
  <c r="K506" i="1" s="1"/>
  <c r="H720" i="1"/>
  <c r="J720" i="1" s="1"/>
  <c r="K720" i="1" s="1"/>
  <c r="H848" i="1"/>
  <c r="J848" i="1" s="1"/>
  <c r="K848" i="1" s="1"/>
  <c r="H952" i="1"/>
  <c r="J952" i="1" s="1"/>
  <c r="K952" i="1" s="1"/>
  <c r="H387" i="1"/>
  <c r="J387" i="1" s="1"/>
  <c r="K387" i="1" s="1"/>
  <c r="H665" i="1"/>
  <c r="J665" i="1" s="1"/>
  <c r="K665" i="1" s="1"/>
  <c r="H753" i="1"/>
  <c r="J753" i="1" s="1"/>
  <c r="K753" i="1" s="1"/>
  <c r="H839" i="1"/>
  <c r="J839" i="1" s="1"/>
  <c r="K839" i="1" s="1"/>
  <c r="H937" i="1"/>
  <c r="J937" i="1" s="1"/>
  <c r="K937" i="1" s="1"/>
  <c r="H1001" i="1"/>
  <c r="J1001" i="1" s="1"/>
  <c r="K1001" i="1" s="1"/>
  <c r="H474" i="1"/>
  <c r="J474" i="1" s="1"/>
  <c r="K474" i="1" s="1"/>
  <c r="H722" i="1"/>
  <c r="J722" i="1" s="1"/>
  <c r="K722" i="1" s="1"/>
  <c r="H850" i="1"/>
  <c r="J850" i="1" s="1"/>
  <c r="K850" i="1" s="1"/>
  <c r="H954" i="1"/>
  <c r="J954" i="1" s="1"/>
  <c r="K954" i="1" s="1"/>
  <c r="H441" i="1"/>
  <c r="J441" i="1" s="1"/>
  <c r="K441" i="1" s="1"/>
  <c r="H691" i="1"/>
  <c r="J691" i="1" s="1"/>
  <c r="K691" i="1" s="1"/>
  <c r="H777" i="1"/>
  <c r="J777" i="1" s="1"/>
  <c r="K777" i="1" s="1"/>
  <c r="H863" i="1"/>
  <c r="J863" i="1" s="1"/>
  <c r="K863" i="1" s="1"/>
  <c r="H947" i="1"/>
  <c r="J947" i="1" s="1"/>
  <c r="K947" i="1" s="1"/>
  <c r="H111" i="1"/>
  <c r="J111" i="1" s="1"/>
  <c r="K111" i="1" s="1"/>
  <c r="H610" i="1"/>
  <c r="J610" i="1" s="1"/>
  <c r="K610" i="1" s="1"/>
  <c r="H746" i="1"/>
  <c r="J746" i="1" s="1"/>
  <c r="K746" i="1" s="1"/>
  <c r="H874" i="1"/>
  <c r="J874" i="1" s="1"/>
  <c r="K874" i="1" s="1"/>
  <c r="H13" i="1"/>
  <c r="J13" i="1" s="1"/>
  <c r="K13" i="1" s="1"/>
  <c r="H45" i="1"/>
  <c r="J45" i="1" s="1"/>
  <c r="K45" i="1" s="1"/>
  <c r="H77" i="1"/>
  <c r="J77" i="1" s="1"/>
  <c r="K77" i="1" s="1"/>
  <c r="H109" i="1"/>
  <c r="J109" i="1" s="1"/>
  <c r="K109" i="1" s="1"/>
  <c r="H141" i="1"/>
  <c r="J141" i="1" s="1"/>
  <c r="K141" i="1" s="1"/>
  <c r="H173" i="1"/>
  <c r="J173" i="1" s="1"/>
  <c r="K173" i="1" s="1"/>
  <c r="H205" i="1"/>
  <c r="J205" i="1" s="1"/>
  <c r="K205" i="1" s="1"/>
  <c r="H237" i="1"/>
  <c r="J237" i="1" s="1"/>
  <c r="K237" i="1" s="1"/>
  <c r="H269" i="1"/>
  <c r="J269" i="1" s="1"/>
  <c r="K269" i="1" s="1"/>
  <c r="H301" i="1"/>
  <c r="J301" i="1" s="1"/>
  <c r="K301" i="1" s="1"/>
  <c r="H333" i="1"/>
  <c r="J333" i="1" s="1"/>
  <c r="K333" i="1" s="1"/>
  <c r="H365" i="1"/>
  <c r="J365" i="1" s="1"/>
  <c r="K365" i="1" s="1"/>
  <c r="H397" i="1"/>
  <c r="J397" i="1" s="1"/>
  <c r="K397" i="1" s="1"/>
  <c r="H429" i="1"/>
  <c r="J429" i="1" s="1"/>
  <c r="K429" i="1" s="1"/>
  <c r="H461" i="1"/>
  <c r="J461" i="1" s="1"/>
  <c r="K461" i="1" s="1"/>
  <c r="H493" i="1"/>
  <c r="J493" i="1" s="1"/>
  <c r="K493" i="1" s="1"/>
  <c r="H525" i="1"/>
  <c r="J525" i="1" s="1"/>
  <c r="K525" i="1" s="1"/>
  <c r="H557" i="1"/>
  <c r="J557" i="1" s="1"/>
  <c r="K557" i="1" s="1"/>
  <c r="H589" i="1"/>
  <c r="J589" i="1" s="1"/>
  <c r="K589" i="1" s="1"/>
  <c r="H621" i="1"/>
  <c r="J621" i="1" s="1"/>
  <c r="K621" i="1" s="1"/>
  <c r="H653" i="1"/>
  <c r="J653" i="1" s="1"/>
  <c r="K653" i="1" s="1"/>
  <c r="H685" i="1"/>
  <c r="J685" i="1" s="1"/>
  <c r="K685" i="1" s="1"/>
  <c r="H717" i="1"/>
  <c r="J717" i="1" s="1"/>
  <c r="K717" i="1" s="1"/>
  <c r="H749" i="1"/>
  <c r="J749" i="1" s="1"/>
  <c r="K749" i="1" s="1"/>
  <c r="H781" i="1"/>
  <c r="J781" i="1" s="1"/>
  <c r="K781" i="1" s="1"/>
  <c r="H813" i="1"/>
  <c r="J813" i="1" s="1"/>
  <c r="K813" i="1" s="1"/>
  <c r="H845" i="1"/>
  <c r="J845" i="1" s="1"/>
  <c r="K845" i="1" s="1"/>
  <c r="H36" i="1"/>
  <c r="J36" i="1" s="1"/>
  <c r="K36" i="1" s="1"/>
  <c r="H100" i="1"/>
  <c r="J100" i="1" s="1"/>
  <c r="K100" i="1" s="1"/>
  <c r="H164" i="1"/>
  <c r="J164" i="1" s="1"/>
  <c r="K164" i="1" s="1"/>
  <c r="H236" i="1"/>
  <c r="J236" i="1" s="1"/>
  <c r="K236" i="1" s="1"/>
  <c r="H292" i="1"/>
  <c r="J292" i="1" s="1"/>
  <c r="K292" i="1" s="1"/>
  <c r="H348" i="1"/>
  <c r="J348" i="1" s="1"/>
  <c r="K348" i="1" s="1"/>
  <c r="H412" i="1"/>
  <c r="J412" i="1" s="1"/>
  <c r="K412" i="1" s="1"/>
  <c r="H468" i="1"/>
  <c r="J468" i="1" s="1"/>
  <c r="K468" i="1" s="1"/>
  <c r="H524" i="1"/>
  <c r="J524" i="1" s="1"/>
  <c r="K524" i="1" s="1"/>
  <c r="H588" i="1"/>
  <c r="J588" i="1" s="1"/>
  <c r="K588" i="1" s="1"/>
  <c r="H660" i="1"/>
  <c r="J660" i="1" s="1"/>
  <c r="K660" i="1" s="1"/>
  <c r="H732" i="1"/>
  <c r="J732" i="1" s="1"/>
  <c r="K732" i="1" s="1"/>
  <c r="H796" i="1"/>
  <c r="J796" i="1" s="1"/>
  <c r="K796" i="1" s="1"/>
  <c r="H868" i="1"/>
  <c r="J868" i="1" s="1"/>
  <c r="K868" i="1" s="1"/>
  <c r="H932" i="1"/>
  <c r="J932" i="1" s="1"/>
  <c r="K932" i="1" s="1"/>
  <c r="H996" i="1"/>
  <c r="J996" i="1" s="1"/>
  <c r="K996" i="1" s="1"/>
  <c r="H885" i="1"/>
  <c r="J885" i="1" s="1"/>
  <c r="K885" i="1" s="1"/>
  <c r="H917" i="1"/>
  <c r="J917" i="1" s="1"/>
  <c r="K917" i="1" s="1"/>
  <c r="H949" i="1"/>
  <c r="J949" i="1" s="1"/>
  <c r="K949" i="1" s="1"/>
  <c r="H981" i="1"/>
  <c r="J981" i="1" s="1"/>
  <c r="K981" i="1" s="1"/>
  <c r="H606" i="1"/>
  <c r="J606" i="1" s="1"/>
  <c r="K606" i="1" s="1"/>
  <c r="H662" i="1"/>
  <c r="J662" i="1" s="1"/>
  <c r="K662" i="1" s="1"/>
  <c r="H734" i="1"/>
  <c r="J734" i="1" s="1"/>
  <c r="K734" i="1" s="1"/>
  <c r="H806" i="1"/>
  <c r="J806" i="1" s="1"/>
  <c r="K806" i="1" s="1"/>
  <c r="H862" i="1"/>
  <c r="J862" i="1" s="1"/>
  <c r="K862" i="1" s="1"/>
  <c r="H918" i="1"/>
  <c r="J918" i="1" s="1"/>
  <c r="K918" i="1" s="1"/>
  <c r="H990" i="1"/>
  <c r="J990" i="1" s="1"/>
  <c r="K990" i="1" s="1"/>
  <c r="H30" i="1"/>
  <c r="J30" i="1" s="1"/>
  <c r="K30" i="1" s="1"/>
  <c r="H62" i="1"/>
  <c r="J62" i="1" s="1"/>
  <c r="K62" i="1" s="1"/>
  <c r="H94" i="1"/>
  <c r="J94" i="1" s="1"/>
  <c r="K94" i="1" s="1"/>
  <c r="H126" i="1"/>
  <c r="J126" i="1" s="1"/>
  <c r="K126" i="1" s="1"/>
  <c r="H158" i="1"/>
  <c r="J158" i="1" s="1"/>
  <c r="K158" i="1" s="1"/>
  <c r="H190" i="1"/>
  <c r="J190" i="1" s="1"/>
  <c r="K190" i="1" s="1"/>
  <c r="H222" i="1"/>
  <c r="J222" i="1" s="1"/>
  <c r="K222" i="1" s="1"/>
  <c r="H254" i="1"/>
  <c r="J254" i="1" s="1"/>
  <c r="K254" i="1" s="1"/>
  <c r="H286" i="1"/>
  <c r="J286" i="1" s="1"/>
  <c r="K286" i="1" s="1"/>
  <c r="H318" i="1"/>
  <c r="J318" i="1" s="1"/>
  <c r="K318" i="1" s="1"/>
  <c r="H350" i="1"/>
  <c r="J350" i="1" s="1"/>
  <c r="K350" i="1" s="1"/>
  <c r="H382" i="1"/>
  <c r="J382" i="1" s="1"/>
  <c r="K382" i="1" s="1"/>
  <c r="H422" i="1"/>
  <c r="J422" i="1" s="1"/>
  <c r="K422" i="1" s="1"/>
  <c r="H454" i="1"/>
  <c r="J454" i="1" s="1"/>
  <c r="K454" i="1" s="1"/>
  <c r="H486" i="1"/>
  <c r="J486" i="1" s="1"/>
  <c r="K486" i="1" s="1"/>
  <c r="H518" i="1"/>
  <c r="J518" i="1" s="1"/>
  <c r="K518" i="1" s="1"/>
  <c r="H550" i="1"/>
  <c r="J550" i="1" s="1"/>
  <c r="K550" i="1" s="1"/>
  <c r="H582" i="1"/>
  <c r="J582" i="1" s="1"/>
  <c r="K582" i="1" s="1"/>
  <c r="H630" i="1"/>
  <c r="J630" i="1" s="1"/>
  <c r="K630" i="1" s="1"/>
  <c r="H694" i="1"/>
  <c r="J694" i="1" s="1"/>
  <c r="K694" i="1" s="1"/>
  <c r="H758" i="1"/>
  <c r="J758" i="1" s="1"/>
  <c r="K758" i="1" s="1"/>
  <c r="H814" i="1"/>
  <c r="J814" i="1" s="1"/>
  <c r="K814" i="1" s="1"/>
  <c r="H894" i="1"/>
  <c r="J894" i="1" s="1"/>
  <c r="K894" i="1" s="1"/>
  <c r="H958" i="1"/>
  <c r="J958" i="1" s="1"/>
  <c r="K958" i="1" s="1"/>
  <c r="H12" i="1"/>
  <c r="J12" i="1" s="1"/>
  <c r="K12" i="1" s="1"/>
  <c r="H76" i="1"/>
  <c r="J76" i="1" s="1"/>
  <c r="K76" i="1" s="1"/>
  <c r="H140" i="1"/>
  <c r="J140" i="1" s="1"/>
  <c r="K140" i="1" s="1"/>
  <c r="H204" i="1"/>
  <c r="J204" i="1" s="1"/>
  <c r="K204" i="1" s="1"/>
  <c r="H268" i="1"/>
  <c r="J268" i="1" s="1"/>
  <c r="K268" i="1" s="1"/>
  <c r="H332" i="1"/>
  <c r="J332" i="1" s="1"/>
  <c r="K332" i="1" s="1"/>
  <c r="H404" i="1"/>
  <c r="J404" i="1" s="1"/>
  <c r="K404" i="1" s="1"/>
  <c r="H476" i="1"/>
  <c r="J476" i="1" s="1"/>
  <c r="K476" i="1" s="1"/>
  <c r="H548" i="1"/>
  <c r="J548" i="1" s="1"/>
  <c r="K548" i="1" s="1"/>
  <c r="H604" i="1"/>
  <c r="J604" i="1" s="1"/>
  <c r="K604" i="1" s="1"/>
  <c r="H668" i="1"/>
  <c r="J668" i="1" s="1"/>
  <c r="K668" i="1" s="1"/>
  <c r="H724" i="1"/>
  <c r="J724" i="1" s="1"/>
  <c r="K724" i="1" s="1"/>
  <c r="H788" i="1"/>
  <c r="J788" i="1" s="1"/>
  <c r="K788" i="1" s="1"/>
  <c r="H844" i="1"/>
  <c r="J844" i="1" s="1"/>
  <c r="K844" i="1" s="1"/>
  <c r="H916" i="1"/>
  <c r="J916" i="1" s="1"/>
  <c r="K916" i="1" s="1"/>
  <c r="H980" i="1"/>
  <c r="J980" i="1" s="1"/>
  <c r="K980" i="1" s="1"/>
  <c r="H855" i="1"/>
  <c r="J855" i="1" s="1"/>
  <c r="K855" i="1" s="1"/>
  <c r="H31" i="1"/>
  <c r="J31" i="1" s="1"/>
  <c r="K31" i="1" s="1"/>
  <c r="H247" i="1"/>
  <c r="J247" i="1" s="1"/>
  <c r="K247" i="1" s="1"/>
  <c r="H503" i="1"/>
  <c r="J503" i="1" s="1"/>
  <c r="K503" i="1" s="1"/>
  <c r="H898" i="1"/>
  <c r="J898" i="1" s="1"/>
  <c r="K898" i="1" s="1"/>
  <c r="H675" i="1"/>
  <c r="J675" i="1" s="1"/>
  <c r="K675" i="1" s="1"/>
  <c r="H129" i="1"/>
  <c r="J129" i="1" s="1"/>
  <c r="K129" i="1" s="1"/>
  <c r="H289" i="1"/>
  <c r="J289" i="1" s="1"/>
  <c r="K289" i="1" s="1"/>
  <c r="H545" i="1"/>
  <c r="J545" i="1" s="1"/>
  <c r="K545" i="1" s="1"/>
  <c r="H721" i="1"/>
  <c r="J721" i="1" s="1"/>
  <c r="K721" i="1" s="1"/>
  <c r="H74" i="1"/>
  <c r="J74" i="1" s="1"/>
  <c r="K74" i="1" s="1"/>
  <c r="H282" i="1"/>
  <c r="J282" i="1" s="1"/>
  <c r="K282" i="1" s="1"/>
  <c r="H418" i="1"/>
  <c r="J418" i="1" s="1"/>
  <c r="K418" i="1" s="1"/>
  <c r="H303" i="1"/>
  <c r="J303" i="1" s="1"/>
  <c r="K303" i="1" s="1"/>
  <c r="H91" i="1"/>
  <c r="J91" i="1" s="1"/>
  <c r="K91" i="1" s="1"/>
  <c r="H379" i="1"/>
  <c r="J379" i="1" s="1"/>
  <c r="K379" i="1" s="1"/>
  <c r="H507" i="1"/>
  <c r="J507" i="1" s="1"/>
  <c r="K507" i="1" s="1"/>
  <c r="H921" i="1"/>
  <c r="J921" i="1" s="1"/>
  <c r="K921" i="1" s="1"/>
  <c r="H865" i="1"/>
  <c r="J865" i="1" s="1"/>
  <c r="K865" i="1" s="1"/>
  <c r="H591" i="1"/>
  <c r="J591" i="1" s="1"/>
  <c r="K591" i="1" s="1"/>
  <c r="H40" i="1"/>
  <c r="J40" i="1" s="1"/>
  <c r="K40" i="1" s="1"/>
  <c r="H248" i="1"/>
  <c r="J248" i="1" s="1"/>
  <c r="K248" i="1" s="1"/>
  <c r="H416" i="1"/>
  <c r="J416" i="1" s="1"/>
  <c r="K416" i="1" s="1"/>
  <c r="H688" i="1"/>
  <c r="J688" i="1" s="1"/>
  <c r="K688" i="1" s="1"/>
  <c r="H731" i="1"/>
  <c r="J731" i="1" s="1"/>
  <c r="K731" i="1" s="1"/>
  <c r="H346" i="1"/>
  <c r="J346" i="1" s="1"/>
  <c r="K346" i="1" s="1"/>
  <c r="H995" i="1"/>
  <c r="J995" i="1" s="1"/>
  <c r="K995" i="1" s="1"/>
  <c r="H101" i="1"/>
  <c r="J101" i="1" s="1"/>
  <c r="K101" i="1" s="1"/>
  <c r="H453" i="1"/>
  <c r="J453" i="1" s="1"/>
  <c r="K453" i="1" s="1"/>
  <c r="H791" i="1"/>
  <c r="J791" i="1" s="1"/>
  <c r="K791" i="1" s="1"/>
  <c r="H801" i="1"/>
  <c r="J801" i="1" s="1"/>
  <c r="K801" i="1" s="1"/>
  <c r="H887" i="1"/>
  <c r="J887" i="1" s="1"/>
  <c r="K887" i="1" s="1"/>
  <c r="H811" i="1"/>
  <c r="J811" i="1" s="1"/>
  <c r="K811" i="1" s="1"/>
  <c r="H15" i="1"/>
  <c r="J15" i="1" s="1"/>
  <c r="K15" i="1" s="1"/>
  <c r="H183" i="1"/>
  <c r="J183" i="1" s="1"/>
  <c r="K183" i="1" s="1"/>
  <c r="H351" i="1"/>
  <c r="J351" i="1" s="1"/>
  <c r="K351" i="1" s="1"/>
  <c r="H479" i="1"/>
  <c r="J479" i="1" s="1"/>
  <c r="K479" i="1" s="1"/>
  <c r="H377" i="1"/>
  <c r="J377" i="1" s="1"/>
  <c r="K377" i="1" s="1"/>
  <c r="H857" i="1"/>
  <c r="J857" i="1" s="1"/>
  <c r="K857" i="1" s="1"/>
  <c r="H136" i="1"/>
  <c r="J136" i="1" s="1"/>
  <c r="K136" i="1" s="1"/>
  <c r="H592" i="1"/>
  <c r="J592" i="1" s="1"/>
  <c r="K592" i="1" s="1"/>
  <c r="H730" i="1"/>
  <c r="J730" i="1" s="1"/>
  <c r="K730" i="1" s="1"/>
  <c r="H858" i="1"/>
  <c r="J858" i="1" s="1"/>
  <c r="K858" i="1" s="1"/>
  <c r="H960" i="1"/>
  <c r="J960" i="1" s="1"/>
  <c r="K960" i="1" s="1"/>
  <c r="H17" i="1"/>
  <c r="J17" i="1" s="1"/>
  <c r="K17" i="1" s="1"/>
  <c r="H49" i="1"/>
  <c r="J49" i="1" s="1"/>
  <c r="K49" i="1" s="1"/>
  <c r="H81" i="1"/>
  <c r="J81" i="1" s="1"/>
  <c r="K81" i="1" s="1"/>
  <c r="H113" i="1"/>
  <c r="J113" i="1" s="1"/>
  <c r="K113" i="1" s="1"/>
  <c r="H145" i="1"/>
  <c r="J145" i="1" s="1"/>
  <c r="K145" i="1" s="1"/>
  <c r="H177" i="1"/>
  <c r="J177" i="1" s="1"/>
  <c r="K177" i="1" s="1"/>
  <c r="H209" i="1"/>
  <c r="J209" i="1" s="1"/>
  <c r="K209" i="1" s="1"/>
  <c r="H241" i="1"/>
  <c r="J241" i="1" s="1"/>
  <c r="K241" i="1" s="1"/>
  <c r="H273" i="1"/>
  <c r="J273" i="1" s="1"/>
  <c r="K273" i="1" s="1"/>
  <c r="H305" i="1"/>
  <c r="J305" i="1" s="1"/>
  <c r="K305" i="1" s="1"/>
  <c r="H353" i="1"/>
  <c r="J353" i="1" s="1"/>
  <c r="K353" i="1" s="1"/>
  <c r="H393" i="1"/>
  <c r="J393" i="1" s="1"/>
  <c r="K393" i="1" s="1"/>
  <c r="H433" i="1"/>
  <c r="J433" i="1" s="1"/>
  <c r="K433" i="1" s="1"/>
  <c r="H481" i="1"/>
  <c r="J481" i="1" s="1"/>
  <c r="K481" i="1" s="1"/>
  <c r="H521" i="1"/>
  <c r="J521" i="1" s="1"/>
  <c r="K521" i="1" s="1"/>
  <c r="H561" i="1"/>
  <c r="J561" i="1" s="1"/>
  <c r="K561" i="1" s="1"/>
  <c r="H609" i="1"/>
  <c r="J609" i="1" s="1"/>
  <c r="K609" i="1" s="1"/>
  <c r="H657" i="1"/>
  <c r="J657" i="1" s="1"/>
  <c r="K657" i="1" s="1"/>
  <c r="H431" i="1"/>
  <c r="J431" i="1" s="1"/>
  <c r="K431" i="1" s="1"/>
  <c r="H679" i="1"/>
  <c r="J679" i="1" s="1"/>
  <c r="K679" i="1" s="1"/>
  <c r="H763" i="1"/>
  <c r="J763" i="1" s="1"/>
  <c r="K763" i="1" s="1"/>
  <c r="H849" i="1"/>
  <c r="J849" i="1" s="1"/>
  <c r="K849" i="1" s="1"/>
  <c r="H945" i="1"/>
  <c r="J945" i="1" s="1"/>
  <c r="K945" i="1" s="1"/>
  <c r="H10" i="1"/>
  <c r="J10" i="1" s="1"/>
  <c r="K10" i="1" s="1"/>
  <c r="H50" i="1"/>
  <c r="J50" i="1" s="1"/>
  <c r="K50" i="1" s="1"/>
  <c r="H90" i="1"/>
  <c r="J90" i="1" s="1"/>
  <c r="K90" i="1" s="1"/>
  <c r="H138" i="1"/>
  <c r="J138" i="1" s="1"/>
  <c r="K138" i="1" s="1"/>
  <c r="H178" i="1"/>
  <c r="J178" i="1" s="1"/>
  <c r="K178" i="1" s="1"/>
  <c r="H218" i="1"/>
  <c r="J218" i="1" s="1"/>
  <c r="K218" i="1" s="1"/>
  <c r="H266" i="1"/>
  <c r="J266" i="1" s="1"/>
  <c r="K266" i="1" s="1"/>
  <c r="H306" i="1"/>
  <c r="J306" i="1" s="1"/>
  <c r="K306" i="1" s="1"/>
  <c r="H354" i="1"/>
  <c r="J354" i="1" s="1"/>
  <c r="K354" i="1" s="1"/>
  <c r="H394" i="1"/>
  <c r="J394" i="1" s="1"/>
  <c r="K394" i="1" s="1"/>
  <c r="H434" i="1"/>
  <c r="J434" i="1" s="1"/>
  <c r="K434" i="1" s="1"/>
  <c r="H482" i="1"/>
  <c r="J482" i="1" s="1"/>
  <c r="K482" i="1" s="1"/>
  <c r="H522" i="1"/>
  <c r="J522" i="1" s="1"/>
  <c r="K522" i="1" s="1"/>
  <c r="H562" i="1"/>
  <c r="J562" i="1" s="1"/>
  <c r="K562" i="1" s="1"/>
  <c r="H618" i="1"/>
  <c r="J618" i="1" s="1"/>
  <c r="K618" i="1" s="1"/>
  <c r="H47" i="1"/>
  <c r="J47" i="1" s="1"/>
  <c r="K47" i="1" s="1"/>
  <c r="H560" i="1"/>
  <c r="J560" i="1" s="1"/>
  <c r="K560" i="1" s="1"/>
  <c r="H744" i="1"/>
  <c r="J744" i="1" s="1"/>
  <c r="K744" i="1" s="1"/>
  <c r="H872" i="1"/>
  <c r="J872" i="1" s="1"/>
  <c r="K872" i="1" s="1"/>
  <c r="H962" i="1"/>
  <c r="J962" i="1" s="1"/>
  <c r="K962" i="1" s="1"/>
  <c r="H27" i="1"/>
  <c r="J27" i="1" s="1"/>
  <c r="K27" i="1" s="1"/>
  <c r="H67" i="1"/>
  <c r="J67" i="1" s="1"/>
  <c r="K67" i="1" s="1"/>
  <c r="H107" i="1"/>
  <c r="J107" i="1" s="1"/>
  <c r="K107" i="1" s="1"/>
  <c r="H155" i="1"/>
  <c r="J155" i="1" s="1"/>
  <c r="K155" i="1" s="1"/>
  <c r="H195" i="1"/>
  <c r="J195" i="1" s="1"/>
  <c r="K195" i="1" s="1"/>
  <c r="H235" i="1"/>
  <c r="J235" i="1" s="1"/>
  <c r="K235" i="1" s="1"/>
  <c r="H283" i="1"/>
  <c r="J283" i="1" s="1"/>
  <c r="K283" i="1" s="1"/>
  <c r="H315" i="1"/>
  <c r="J315" i="1" s="1"/>
  <c r="K315" i="1" s="1"/>
  <c r="H363" i="1"/>
  <c r="J363" i="1" s="1"/>
  <c r="K363" i="1" s="1"/>
  <c r="H403" i="1"/>
  <c r="J403" i="1" s="1"/>
  <c r="K403" i="1" s="1"/>
  <c r="H443" i="1"/>
  <c r="J443" i="1" s="1"/>
  <c r="K443" i="1" s="1"/>
  <c r="H491" i="1"/>
  <c r="J491" i="1" s="1"/>
  <c r="K491" i="1" s="1"/>
  <c r="H531" i="1"/>
  <c r="J531" i="1" s="1"/>
  <c r="K531" i="1" s="1"/>
  <c r="H571" i="1"/>
  <c r="J571" i="1" s="1"/>
  <c r="K571" i="1" s="1"/>
  <c r="H619" i="1"/>
  <c r="J619" i="1" s="1"/>
  <c r="K619" i="1" s="1"/>
  <c r="H58" i="1"/>
  <c r="J58" i="1" s="1"/>
  <c r="K58" i="1" s="1"/>
  <c r="H483" i="1"/>
  <c r="J483" i="1" s="1"/>
  <c r="K483" i="1" s="1"/>
  <c r="H703" i="1"/>
  <c r="J703" i="1" s="1"/>
  <c r="K703" i="1" s="1"/>
  <c r="H787" i="1"/>
  <c r="J787" i="1" s="1"/>
  <c r="K787" i="1" s="1"/>
  <c r="H873" i="1"/>
  <c r="J873" i="1" s="1"/>
  <c r="K873" i="1" s="1"/>
  <c r="H955" i="1"/>
  <c r="J955" i="1" s="1"/>
  <c r="K955" i="1" s="1"/>
  <c r="H162" i="1"/>
  <c r="J162" i="1" s="1"/>
  <c r="K162" i="1" s="1"/>
  <c r="H634" i="1"/>
  <c r="J634" i="1" s="1"/>
  <c r="K634" i="1" s="1"/>
  <c r="H768" i="1"/>
  <c r="J768" i="1" s="1"/>
  <c r="K768" i="1" s="1"/>
  <c r="H895" i="1"/>
  <c r="J895" i="1" s="1"/>
  <c r="K895" i="1" s="1"/>
  <c r="H451" i="1"/>
  <c r="J451" i="1" s="1"/>
  <c r="K451" i="1" s="1"/>
  <c r="H906" i="1"/>
  <c r="J906" i="1" s="1"/>
  <c r="K906" i="1" s="1"/>
  <c r="H287" i="1"/>
  <c r="J287" i="1" s="1"/>
  <c r="K287" i="1" s="1"/>
  <c r="H135" i="1"/>
  <c r="J135" i="1" s="1"/>
  <c r="K135" i="1" s="1"/>
  <c r="H927" i="1"/>
  <c r="J927" i="1" s="1"/>
  <c r="K927" i="1" s="1"/>
  <c r="H193" i="1"/>
  <c r="J193" i="1" s="1"/>
  <c r="K193" i="1" s="1"/>
  <c r="H417" i="1"/>
  <c r="J417" i="1" s="1"/>
  <c r="K417" i="1" s="1"/>
  <c r="H600" i="1"/>
  <c r="J600" i="1" s="1"/>
  <c r="K600" i="1" s="1"/>
  <c r="H242" i="1"/>
  <c r="J242" i="1" s="1"/>
  <c r="K242" i="1" s="1"/>
  <c r="H546" i="1"/>
  <c r="J546" i="1" s="1"/>
  <c r="K546" i="1" s="1"/>
  <c r="H994" i="1"/>
  <c r="J994" i="1" s="1"/>
  <c r="K994" i="1" s="1"/>
  <c r="H427" i="1"/>
  <c r="J427" i="1" s="1"/>
  <c r="K427" i="1" s="1"/>
  <c r="H635" i="1"/>
  <c r="J635" i="1" s="1"/>
  <c r="K635" i="1" s="1"/>
  <c r="H633" i="1"/>
  <c r="J633" i="1" s="1"/>
  <c r="K633" i="1" s="1"/>
  <c r="H704" i="1"/>
  <c r="J704" i="1" s="1"/>
  <c r="K704" i="1" s="1"/>
  <c r="H495" i="1"/>
  <c r="J495" i="1" s="1"/>
  <c r="K495" i="1" s="1"/>
  <c r="H673" i="1"/>
  <c r="J673" i="1" s="1"/>
  <c r="K673" i="1" s="1"/>
  <c r="H80" i="1"/>
  <c r="J80" i="1" s="1"/>
  <c r="K80" i="1" s="1"/>
  <c r="H376" i="1"/>
  <c r="J376" i="1" s="1"/>
  <c r="K376" i="1" s="1"/>
  <c r="H584" i="1"/>
  <c r="J584" i="1" s="1"/>
  <c r="K584" i="1" s="1"/>
  <c r="H936" i="1"/>
  <c r="J936" i="1" s="1"/>
  <c r="K936" i="1" s="1"/>
  <c r="H938" i="1"/>
  <c r="J938" i="1" s="1"/>
  <c r="K938" i="1" s="1"/>
  <c r="H355" i="1"/>
  <c r="J355" i="1" s="1"/>
  <c r="K355" i="1" s="1"/>
  <c r="H69" i="1"/>
  <c r="J69" i="1" s="1"/>
  <c r="K69" i="1" s="1"/>
  <c r="H389" i="1"/>
  <c r="J389" i="1" s="1"/>
  <c r="K389" i="1" s="1"/>
  <c r="H875" i="1"/>
  <c r="J875" i="1" s="1"/>
  <c r="K875" i="1" s="1"/>
  <c r="H224" i="1"/>
  <c r="J224" i="1" s="1"/>
  <c r="K224" i="1" s="1"/>
  <c r="H226" i="1"/>
  <c r="J226" i="1" s="1"/>
  <c r="K226" i="1" s="1"/>
  <c r="H275" i="1"/>
  <c r="J275" i="1" s="1"/>
  <c r="K275" i="1" s="1"/>
  <c r="H727" i="1"/>
  <c r="J727" i="1" s="1"/>
  <c r="K727" i="1" s="1"/>
  <c r="H896" i="1"/>
  <c r="J896" i="1" s="1"/>
  <c r="K896" i="1" s="1"/>
  <c r="H728" i="1"/>
  <c r="J728" i="1" s="1"/>
  <c r="K728" i="1" s="1"/>
  <c r="H55" i="1"/>
  <c r="J55" i="1" s="1"/>
  <c r="K55" i="1" s="1"/>
  <c r="H95" i="1"/>
  <c r="J95" i="1" s="1"/>
  <c r="K95" i="1" s="1"/>
  <c r="H271" i="1"/>
  <c r="J271" i="1" s="1"/>
  <c r="K271" i="1" s="1"/>
  <c r="H439" i="1"/>
  <c r="J439" i="1" s="1"/>
  <c r="K439" i="1" s="1"/>
  <c r="H567" i="1"/>
  <c r="J567" i="1" s="1"/>
  <c r="K567" i="1" s="1"/>
  <c r="H647" i="1"/>
  <c r="J647" i="1" s="1"/>
  <c r="K647" i="1" s="1"/>
  <c r="H687" i="1"/>
  <c r="J687" i="1" s="1"/>
  <c r="K687" i="1" s="1"/>
  <c r="H323" i="1"/>
  <c r="J323" i="1" s="1"/>
  <c r="K323" i="1" s="1"/>
  <c r="H823" i="1"/>
  <c r="J823" i="1" s="1"/>
  <c r="K823" i="1" s="1"/>
  <c r="H905" i="1"/>
  <c r="J905" i="1" s="1"/>
  <c r="K905" i="1" s="1"/>
  <c r="H410" i="1"/>
  <c r="J410" i="1" s="1"/>
  <c r="K410" i="1" s="1"/>
  <c r="H738" i="1"/>
  <c r="J738" i="1" s="1"/>
  <c r="K738" i="1" s="1"/>
  <c r="H866" i="1"/>
  <c r="J866" i="1" s="1"/>
  <c r="K866" i="1" s="1"/>
  <c r="H419" i="1"/>
  <c r="J419" i="1" s="1"/>
  <c r="K419" i="1" s="1"/>
  <c r="H697" i="1"/>
  <c r="J697" i="1" s="1"/>
  <c r="K697" i="1" s="1"/>
  <c r="H783" i="1"/>
  <c r="J783" i="1" s="1"/>
  <c r="K783" i="1" s="1"/>
  <c r="H867" i="1"/>
  <c r="J867" i="1" s="1"/>
  <c r="K867" i="1" s="1"/>
  <c r="H959" i="1"/>
  <c r="J959" i="1" s="1"/>
  <c r="K959" i="1" s="1"/>
  <c r="H16" i="1"/>
  <c r="J16" i="1" s="1"/>
  <c r="K16" i="1" s="1"/>
  <c r="H56" i="1"/>
  <c r="J56" i="1" s="1"/>
  <c r="K56" i="1" s="1"/>
  <c r="H104" i="1"/>
  <c r="J104" i="1" s="1"/>
  <c r="K104" i="1" s="1"/>
  <c r="H144" i="1"/>
  <c r="J144" i="1" s="1"/>
  <c r="K144" i="1" s="1"/>
  <c r="H184" i="1"/>
  <c r="J184" i="1" s="1"/>
  <c r="K184" i="1" s="1"/>
  <c r="H232" i="1"/>
  <c r="J232" i="1" s="1"/>
  <c r="K232" i="1" s="1"/>
  <c r="H272" i="1"/>
  <c r="J272" i="1" s="1"/>
  <c r="K272" i="1" s="1"/>
  <c r="H312" i="1"/>
  <c r="J312" i="1" s="1"/>
  <c r="K312" i="1" s="1"/>
  <c r="H352" i="1"/>
  <c r="J352" i="1" s="1"/>
  <c r="K352" i="1" s="1"/>
  <c r="H392" i="1"/>
  <c r="J392" i="1" s="1"/>
  <c r="K392" i="1" s="1"/>
  <c r="H440" i="1"/>
  <c r="J440" i="1" s="1"/>
  <c r="K440" i="1" s="1"/>
  <c r="H480" i="1"/>
  <c r="J480" i="1" s="1"/>
  <c r="K480" i="1" s="1"/>
  <c r="H520" i="1"/>
  <c r="J520" i="1" s="1"/>
  <c r="K520" i="1" s="1"/>
  <c r="H568" i="1"/>
  <c r="J568" i="1" s="1"/>
  <c r="K568" i="1" s="1"/>
  <c r="H616" i="1"/>
  <c r="J616" i="1" s="1"/>
  <c r="K616" i="1" s="1"/>
  <c r="H187" i="1"/>
  <c r="J187" i="1" s="1"/>
  <c r="K187" i="1" s="1"/>
  <c r="H623" i="1"/>
  <c r="J623" i="1" s="1"/>
  <c r="K623" i="1" s="1"/>
  <c r="H752" i="1"/>
  <c r="J752" i="1" s="1"/>
  <c r="K752" i="1" s="1"/>
  <c r="H880" i="1"/>
  <c r="J880" i="1" s="1"/>
  <c r="K880" i="1" s="1"/>
  <c r="H968" i="1"/>
  <c r="J968" i="1" s="1"/>
  <c r="K968" i="1" s="1"/>
  <c r="H473" i="1"/>
  <c r="J473" i="1" s="1"/>
  <c r="K473" i="1" s="1"/>
  <c r="H689" i="1"/>
  <c r="J689" i="1" s="1"/>
  <c r="K689" i="1" s="1"/>
  <c r="H775" i="1"/>
  <c r="J775" i="1" s="1"/>
  <c r="K775" i="1" s="1"/>
  <c r="H859" i="1"/>
  <c r="J859" i="1" s="1"/>
  <c r="K859" i="1" s="1"/>
  <c r="H953" i="1"/>
  <c r="J953" i="1" s="1"/>
  <c r="K953" i="1" s="1"/>
  <c r="H98" i="1"/>
  <c r="J98" i="1" s="1"/>
  <c r="K98" i="1" s="1"/>
  <c r="H601" i="1"/>
  <c r="J601" i="1" s="1"/>
  <c r="K601" i="1" s="1"/>
  <c r="H754" i="1"/>
  <c r="J754" i="1" s="1"/>
  <c r="K754" i="1" s="1"/>
  <c r="H882" i="1"/>
  <c r="J882" i="1" s="1"/>
  <c r="K882" i="1" s="1"/>
  <c r="H970" i="1"/>
  <c r="J970" i="1" s="1"/>
  <c r="K970" i="1" s="1"/>
  <c r="H160" i="1"/>
  <c r="J160" i="1" s="1"/>
  <c r="K160" i="1" s="1"/>
  <c r="H527" i="1"/>
  <c r="J527" i="1" s="1"/>
  <c r="K527" i="1" s="1"/>
  <c r="H713" i="1"/>
  <c r="J713" i="1" s="1"/>
  <c r="K713" i="1" s="1"/>
  <c r="H799" i="1"/>
  <c r="J799" i="1" s="1"/>
  <c r="K799" i="1" s="1"/>
  <c r="H883" i="1"/>
  <c r="J883" i="1" s="1"/>
  <c r="K883" i="1" s="1"/>
  <c r="H963" i="1"/>
  <c r="J963" i="1" s="1"/>
  <c r="K963" i="1" s="1"/>
  <c r="H264" i="1"/>
  <c r="J264" i="1" s="1"/>
  <c r="K264" i="1" s="1"/>
  <c r="H656" i="1"/>
  <c r="J656" i="1" s="1"/>
  <c r="K656" i="1" s="1"/>
  <c r="H778" i="1"/>
  <c r="J778" i="1" s="1"/>
  <c r="K778" i="1" s="1"/>
  <c r="H904" i="1"/>
  <c r="J904" i="1" s="1"/>
  <c r="K904" i="1" s="1"/>
  <c r="H21" i="1"/>
  <c r="J21" i="1" s="1"/>
  <c r="K21" i="1" s="1"/>
  <c r="H53" i="1"/>
  <c r="J53" i="1" s="1"/>
  <c r="K53" i="1" s="1"/>
  <c r="H85" i="1"/>
  <c r="J85" i="1" s="1"/>
  <c r="K85" i="1" s="1"/>
  <c r="H117" i="1"/>
  <c r="J117" i="1" s="1"/>
  <c r="K117" i="1" s="1"/>
  <c r="H149" i="1"/>
  <c r="J149" i="1" s="1"/>
  <c r="K149" i="1" s="1"/>
  <c r="H181" i="1"/>
  <c r="J181" i="1" s="1"/>
  <c r="K181" i="1" s="1"/>
  <c r="H213" i="1"/>
  <c r="J213" i="1" s="1"/>
  <c r="K213" i="1" s="1"/>
  <c r="H245" i="1"/>
  <c r="J245" i="1" s="1"/>
  <c r="K245" i="1" s="1"/>
  <c r="H277" i="1"/>
  <c r="J277" i="1" s="1"/>
  <c r="K277" i="1" s="1"/>
  <c r="H309" i="1"/>
  <c r="J309" i="1" s="1"/>
  <c r="K309" i="1" s="1"/>
  <c r="H341" i="1"/>
  <c r="J341" i="1" s="1"/>
  <c r="K341" i="1" s="1"/>
  <c r="H373" i="1"/>
  <c r="J373" i="1" s="1"/>
  <c r="K373" i="1" s="1"/>
  <c r="H405" i="1"/>
  <c r="J405" i="1" s="1"/>
  <c r="K405" i="1" s="1"/>
  <c r="H437" i="1"/>
  <c r="J437" i="1" s="1"/>
  <c r="K437" i="1" s="1"/>
  <c r="H469" i="1"/>
  <c r="J469" i="1" s="1"/>
  <c r="K469" i="1" s="1"/>
  <c r="H501" i="1"/>
  <c r="J501" i="1" s="1"/>
  <c r="K501" i="1" s="1"/>
  <c r="H533" i="1"/>
  <c r="J533" i="1" s="1"/>
  <c r="K533" i="1" s="1"/>
  <c r="H565" i="1"/>
  <c r="J565" i="1" s="1"/>
  <c r="K565" i="1" s="1"/>
  <c r="H597" i="1"/>
  <c r="J597" i="1" s="1"/>
  <c r="K597" i="1" s="1"/>
  <c r="H629" i="1"/>
  <c r="J629" i="1" s="1"/>
  <c r="K629" i="1" s="1"/>
  <c r="H661" i="1"/>
  <c r="J661" i="1" s="1"/>
  <c r="K661" i="1" s="1"/>
  <c r="H693" i="1"/>
  <c r="J693" i="1" s="1"/>
  <c r="K693" i="1" s="1"/>
  <c r="H725" i="1"/>
  <c r="J725" i="1" s="1"/>
  <c r="K725" i="1" s="1"/>
  <c r="H757" i="1"/>
  <c r="J757" i="1" s="1"/>
  <c r="K757" i="1" s="1"/>
  <c r="H789" i="1"/>
  <c r="J789" i="1" s="1"/>
  <c r="K789" i="1" s="1"/>
  <c r="H821" i="1"/>
  <c r="J821" i="1" s="1"/>
  <c r="K821" i="1" s="1"/>
  <c r="H853" i="1"/>
  <c r="J853" i="1" s="1"/>
  <c r="K853" i="1" s="1"/>
  <c r="H52" i="1"/>
  <c r="J52" i="1" s="1"/>
  <c r="K52" i="1" s="1"/>
  <c r="H116" i="1"/>
  <c r="J116" i="1" s="1"/>
  <c r="K116" i="1" s="1"/>
  <c r="H180" i="1"/>
  <c r="J180" i="1" s="1"/>
  <c r="K180" i="1" s="1"/>
  <c r="H252" i="1"/>
  <c r="J252" i="1" s="1"/>
  <c r="K252" i="1" s="1"/>
  <c r="H308" i="1"/>
  <c r="J308" i="1" s="1"/>
  <c r="K308" i="1" s="1"/>
  <c r="H364" i="1"/>
  <c r="J364" i="1" s="1"/>
  <c r="K364" i="1" s="1"/>
  <c r="H428" i="1"/>
  <c r="J428" i="1" s="1"/>
  <c r="K428" i="1" s="1"/>
  <c r="H484" i="1"/>
  <c r="J484" i="1" s="1"/>
  <c r="K484" i="1" s="1"/>
  <c r="H540" i="1"/>
  <c r="J540" i="1" s="1"/>
  <c r="K540" i="1" s="1"/>
  <c r="H612" i="1"/>
  <c r="J612" i="1" s="1"/>
  <c r="K612" i="1" s="1"/>
  <c r="H676" i="1"/>
  <c r="J676" i="1" s="1"/>
  <c r="K676" i="1" s="1"/>
  <c r="H748" i="1"/>
  <c r="J748" i="1" s="1"/>
  <c r="K748" i="1" s="1"/>
  <c r="H812" i="1"/>
  <c r="J812" i="1" s="1"/>
  <c r="K812" i="1" s="1"/>
  <c r="H884" i="1"/>
  <c r="J884" i="1" s="1"/>
  <c r="K884" i="1" s="1"/>
  <c r="H948" i="1"/>
  <c r="J948" i="1" s="1"/>
  <c r="K948" i="1" s="1"/>
  <c r="H861" i="1"/>
  <c r="J861" i="1" s="1"/>
  <c r="K861" i="1" s="1"/>
  <c r="H893" i="1"/>
  <c r="J893" i="1" s="1"/>
  <c r="K893" i="1" s="1"/>
  <c r="H925" i="1"/>
  <c r="J925" i="1" s="1"/>
  <c r="K925" i="1" s="1"/>
  <c r="H957" i="1"/>
  <c r="J957" i="1" s="1"/>
  <c r="K957" i="1" s="1"/>
  <c r="H989" i="1"/>
  <c r="J989" i="1" s="1"/>
  <c r="K989" i="1" s="1"/>
  <c r="H622" i="1"/>
  <c r="J622" i="1" s="1"/>
  <c r="K622" i="1" s="1"/>
  <c r="H686" i="1"/>
  <c r="J686" i="1" s="1"/>
  <c r="K686" i="1" s="1"/>
  <c r="H750" i="1"/>
  <c r="J750" i="1" s="1"/>
  <c r="K750" i="1" s="1"/>
  <c r="H822" i="1"/>
  <c r="J822" i="1" s="1"/>
  <c r="K822" i="1" s="1"/>
  <c r="H878" i="1"/>
  <c r="J878" i="1" s="1"/>
  <c r="K878" i="1" s="1"/>
  <c r="H934" i="1"/>
  <c r="J934" i="1" s="1"/>
  <c r="K934" i="1" s="1"/>
  <c r="H6" i="1"/>
  <c r="J6" i="1" s="1"/>
  <c r="K6" i="1" s="1"/>
  <c r="H38" i="1"/>
  <c r="J38" i="1" s="1"/>
  <c r="K38" i="1" s="1"/>
  <c r="H70" i="1"/>
  <c r="J70" i="1" s="1"/>
  <c r="K70" i="1" s="1"/>
  <c r="H102" i="1"/>
  <c r="J102" i="1" s="1"/>
  <c r="K102" i="1" s="1"/>
  <c r="H134" i="1"/>
  <c r="J134" i="1" s="1"/>
  <c r="K134" i="1" s="1"/>
  <c r="H166" i="1"/>
  <c r="J166" i="1" s="1"/>
  <c r="K166" i="1" s="1"/>
  <c r="H198" i="1"/>
  <c r="J198" i="1" s="1"/>
  <c r="K198" i="1" s="1"/>
  <c r="H230" i="1"/>
  <c r="J230" i="1" s="1"/>
  <c r="K230" i="1" s="1"/>
  <c r="H262" i="1"/>
  <c r="J262" i="1" s="1"/>
  <c r="K262" i="1" s="1"/>
  <c r="H294" i="1"/>
  <c r="J294" i="1" s="1"/>
  <c r="K294" i="1" s="1"/>
  <c r="H326" i="1"/>
  <c r="J326" i="1" s="1"/>
  <c r="K326" i="1" s="1"/>
  <c r="H358" i="1"/>
  <c r="J358" i="1" s="1"/>
  <c r="K358" i="1" s="1"/>
  <c r="H390" i="1"/>
  <c r="J390" i="1" s="1"/>
  <c r="K390" i="1" s="1"/>
  <c r="H430" i="1"/>
  <c r="J430" i="1" s="1"/>
  <c r="K430" i="1" s="1"/>
  <c r="H462" i="1"/>
  <c r="J462" i="1" s="1"/>
  <c r="K462" i="1" s="1"/>
  <c r="H494" i="1"/>
  <c r="J494" i="1" s="1"/>
  <c r="K494" i="1" s="1"/>
  <c r="H526" i="1"/>
  <c r="J526" i="1" s="1"/>
  <c r="K526" i="1" s="1"/>
  <c r="H558" i="1"/>
  <c r="J558" i="1" s="1"/>
  <c r="K558" i="1" s="1"/>
  <c r="H590" i="1"/>
  <c r="J590" i="1" s="1"/>
  <c r="K590" i="1" s="1"/>
  <c r="H654" i="1"/>
  <c r="J654" i="1" s="1"/>
  <c r="K654" i="1" s="1"/>
  <c r="H710" i="1"/>
  <c r="J710" i="1" s="1"/>
  <c r="K710" i="1" s="1"/>
  <c r="H774" i="1"/>
  <c r="J774" i="1" s="1"/>
  <c r="K774" i="1" s="1"/>
  <c r="H838" i="1"/>
  <c r="J838" i="1" s="1"/>
  <c r="K838" i="1" s="1"/>
  <c r="H910" i="1"/>
  <c r="J910" i="1" s="1"/>
  <c r="K910" i="1" s="1"/>
  <c r="H966" i="1"/>
  <c r="J966" i="1" s="1"/>
  <c r="K966" i="1" s="1"/>
  <c r="H28" i="1"/>
  <c r="J28" i="1" s="1"/>
  <c r="K28" i="1" s="1"/>
  <c r="H92" i="1"/>
  <c r="J92" i="1" s="1"/>
  <c r="K92" i="1" s="1"/>
  <c r="H156" i="1"/>
  <c r="J156" i="1" s="1"/>
  <c r="K156" i="1" s="1"/>
  <c r="H220" i="1"/>
  <c r="J220" i="1" s="1"/>
  <c r="K220" i="1" s="1"/>
  <c r="H284" i="1"/>
  <c r="J284" i="1" s="1"/>
  <c r="K284" i="1" s="1"/>
  <c r="H356" i="1"/>
  <c r="J356" i="1" s="1"/>
  <c r="K356" i="1" s="1"/>
  <c r="H420" i="1"/>
  <c r="J420" i="1" s="1"/>
  <c r="K420" i="1" s="1"/>
  <c r="H500" i="1"/>
  <c r="J500" i="1" s="1"/>
  <c r="K500" i="1" s="1"/>
  <c r="H564" i="1"/>
  <c r="J564" i="1" s="1"/>
  <c r="K564" i="1" s="1"/>
  <c r="H620" i="1"/>
  <c r="J620" i="1" s="1"/>
  <c r="K620" i="1" s="1"/>
  <c r="H684" i="1"/>
  <c r="J684" i="1" s="1"/>
  <c r="K684" i="1" s="1"/>
  <c r="H740" i="1"/>
  <c r="J740" i="1" s="1"/>
  <c r="K740" i="1" s="1"/>
  <c r="H804" i="1"/>
  <c r="J804" i="1" s="1"/>
  <c r="K804" i="1" s="1"/>
  <c r="H860" i="1"/>
  <c r="J860" i="1" s="1"/>
  <c r="K860" i="1" s="1"/>
  <c r="H924" i="1"/>
  <c r="J924" i="1" s="1"/>
  <c r="K924" i="1" s="1"/>
  <c r="H988" i="1"/>
  <c r="J988" i="1" s="1"/>
  <c r="K988" i="1" s="1"/>
  <c r="H683" i="1"/>
  <c r="J683" i="1" s="1"/>
  <c r="K683" i="1" s="1"/>
  <c r="H792" i="1"/>
  <c r="J792" i="1" s="1"/>
  <c r="K792" i="1" s="1"/>
  <c r="H207" i="1"/>
  <c r="J207" i="1" s="1"/>
  <c r="K207" i="1" s="1"/>
  <c r="H455" i="1"/>
  <c r="J455" i="1" s="1"/>
  <c r="K455" i="1" s="1"/>
  <c r="H547" i="1"/>
  <c r="J547" i="1" s="1"/>
  <c r="K547" i="1" s="1"/>
  <c r="H992" i="1"/>
  <c r="J992" i="1" s="1"/>
  <c r="K992" i="1" s="1"/>
  <c r="H161" i="1"/>
  <c r="J161" i="1" s="1"/>
  <c r="K161" i="1" s="1"/>
  <c r="H329" i="1"/>
  <c r="J329" i="1" s="1"/>
  <c r="K329" i="1" s="1"/>
  <c r="H625" i="1"/>
  <c r="J625" i="1" s="1"/>
  <c r="K625" i="1" s="1"/>
  <c r="H977" i="1"/>
  <c r="J977" i="1" s="1"/>
  <c r="K977" i="1" s="1"/>
  <c r="H330" i="1"/>
  <c r="J330" i="1" s="1"/>
  <c r="K330" i="1" s="1"/>
  <c r="H586" i="1"/>
  <c r="J586" i="1" s="1"/>
  <c r="K586" i="1" s="1"/>
  <c r="H929" i="1"/>
  <c r="J929" i="1" s="1"/>
  <c r="K929" i="1" s="1"/>
  <c r="H171" i="1"/>
  <c r="J171" i="1" s="1"/>
  <c r="K171" i="1" s="1"/>
  <c r="H467" i="1"/>
  <c r="J467" i="1" s="1"/>
  <c r="K467" i="1" s="1"/>
  <c r="H313" i="1"/>
  <c r="J313" i="1" s="1"/>
  <c r="K313" i="1" s="1"/>
  <c r="H745" i="1"/>
  <c r="J745" i="1" s="1"/>
  <c r="K745" i="1" s="1"/>
  <c r="H442" i="1"/>
  <c r="J442" i="1" s="1"/>
  <c r="K442" i="1" s="1"/>
  <c r="H695" i="1"/>
  <c r="J695" i="1" s="1"/>
  <c r="K695" i="1" s="1"/>
  <c r="H802" i="1"/>
  <c r="J802" i="1" s="1"/>
  <c r="K802" i="1" s="1"/>
  <c r="H739" i="1"/>
  <c r="J739" i="1" s="1"/>
  <c r="K739" i="1" s="1"/>
  <c r="H208" i="1"/>
  <c r="J208" i="1" s="1"/>
  <c r="K208" i="1" s="1"/>
  <c r="H456" i="1"/>
  <c r="J456" i="1" s="1"/>
  <c r="K456" i="1" s="1"/>
  <c r="H816" i="1"/>
  <c r="J816" i="1" s="1"/>
  <c r="K816" i="1" s="1"/>
  <c r="H624" i="1"/>
  <c r="J624" i="1" s="1"/>
  <c r="K624" i="1" s="1"/>
  <c r="H985" i="1"/>
  <c r="J985" i="1" s="1"/>
  <c r="K985" i="1" s="1"/>
  <c r="H1002" i="1"/>
  <c r="J1002" i="1" s="1"/>
  <c r="K1002" i="1" s="1"/>
  <c r="H755" i="1"/>
  <c r="J755" i="1" s="1"/>
  <c r="K755" i="1" s="1"/>
  <c r="H37" i="1"/>
  <c r="J37" i="1" s="1"/>
  <c r="K37" i="1" s="1"/>
  <c r="H293" i="1"/>
  <c r="J293" i="1" s="1"/>
  <c r="K293" i="1" s="1"/>
  <c r="H537" i="1"/>
  <c r="J537" i="1" s="1"/>
  <c r="K537" i="1" s="1"/>
  <c r="H824" i="1"/>
  <c r="J824" i="1" s="1"/>
  <c r="K824" i="1" s="1"/>
  <c r="H579" i="1"/>
  <c r="J579" i="1" s="1"/>
  <c r="K579" i="1" s="1"/>
  <c r="H834" i="1"/>
  <c r="J834" i="1" s="1"/>
  <c r="K834" i="1" s="1"/>
  <c r="H611" i="1"/>
  <c r="J611" i="1" s="1"/>
  <c r="K611" i="1" s="1"/>
  <c r="H368" i="1"/>
  <c r="J368" i="1" s="1"/>
  <c r="K368" i="1" s="1"/>
  <c r="H856" i="1"/>
  <c r="J856" i="1" s="1"/>
  <c r="K856" i="1" s="1"/>
  <c r="H143" i="1"/>
  <c r="J143" i="1" s="1"/>
  <c r="K143" i="1" s="1"/>
  <c r="H223" i="1"/>
  <c r="J223" i="1" s="1"/>
  <c r="K223" i="1" s="1"/>
  <c r="H311" i="1"/>
  <c r="J311" i="1" s="1"/>
  <c r="K311" i="1" s="1"/>
  <c r="H391" i="1"/>
  <c r="J391" i="1" s="1"/>
  <c r="K391" i="1" s="1"/>
  <c r="H519" i="1"/>
  <c r="J519" i="1" s="1"/>
  <c r="K519" i="1" s="1"/>
  <c r="H607" i="1"/>
  <c r="J607" i="1" s="1"/>
  <c r="K607" i="1" s="1"/>
  <c r="H771" i="1"/>
  <c r="J771" i="1" s="1"/>
  <c r="K771" i="1" s="1"/>
  <c r="H951" i="1"/>
  <c r="J951" i="1" s="1"/>
  <c r="K951" i="1" s="1"/>
  <c r="H642" i="1"/>
  <c r="J642" i="1" s="1"/>
  <c r="K642" i="1" s="1"/>
  <c r="H737" i="1"/>
  <c r="J737" i="1" s="1"/>
  <c r="K737" i="1" s="1"/>
  <c r="H367" i="1"/>
  <c r="J367" i="1" s="1"/>
  <c r="K367" i="1" s="1"/>
  <c r="H659" i="1"/>
  <c r="J659" i="1" s="1"/>
  <c r="K659" i="1" s="1"/>
  <c r="H747" i="1"/>
  <c r="J747" i="1" s="1"/>
  <c r="K747" i="1" s="1"/>
  <c r="H833" i="1"/>
  <c r="J833" i="1" s="1"/>
  <c r="K833" i="1" s="1"/>
  <c r="H914" i="1"/>
  <c r="J914" i="1" s="1"/>
  <c r="K914" i="1" s="1"/>
  <c r="H496" i="1"/>
  <c r="J496" i="1" s="1"/>
  <c r="K496" i="1" s="1"/>
  <c r="H760" i="1"/>
  <c r="J760" i="1" s="1"/>
  <c r="K760" i="1" s="1"/>
  <c r="H888" i="1"/>
  <c r="J888" i="1" s="1"/>
  <c r="K888" i="1" s="1"/>
  <c r="H23" i="1"/>
  <c r="J23" i="1" s="1"/>
  <c r="K23" i="1" s="1"/>
  <c r="H63" i="1"/>
  <c r="J63" i="1" s="1"/>
  <c r="K63" i="1" s="1"/>
  <c r="H103" i="1"/>
  <c r="J103" i="1" s="1"/>
  <c r="K103" i="1" s="1"/>
  <c r="H151" i="1"/>
  <c r="J151" i="1" s="1"/>
  <c r="K151" i="1" s="1"/>
  <c r="H191" i="1"/>
  <c r="J191" i="1" s="1"/>
  <c r="K191" i="1" s="1"/>
  <c r="H231" i="1"/>
  <c r="J231" i="1" s="1"/>
  <c r="K231" i="1" s="1"/>
  <c r="H279" i="1"/>
  <c r="J279" i="1" s="1"/>
  <c r="K279" i="1" s="1"/>
  <c r="H319" i="1"/>
  <c r="J319" i="1" s="1"/>
  <c r="K319" i="1" s="1"/>
  <c r="H359" i="1"/>
  <c r="J359" i="1" s="1"/>
  <c r="K359" i="1" s="1"/>
  <c r="H407" i="1"/>
  <c r="J407" i="1" s="1"/>
  <c r="K407" i="1" s="1"/>
  <c r="H447" i="1"/>
  <c r="J447" i="1" s="1"/>
  <c r="K447" i="1" s="1"/>
  <c r="H487" i="1"/>
  <c r="J487" i="1" s="1"/>
  <c r="K487" i="1" s="1"/>
  <c r="H535" i="1"/>
  <c r="J535" i="1" s="1"/>
  <c r="K535" i="1" s="1"/>
  <c r="H575" i="1"/>
  <c r="J575" i="1" s="1"/>
  <c r="K575" i="1" s="1"/>
  <c r="H615" i="1"/>
  <c r="J615" i="1" s="1"/>
  <c r="K615" i="1" s="1"/>
  <c r="H32" i="1"/>
  <c r="J32" i="1" s="1"/>
  <c r="K32" i="1" s="1"/>
  <c r="H463" i="1"/>
  <c r="J463" i="1" s="1"/>
  <c r="K463" i="1" s="1"/>
  <c r="H707" i="1"/>
  <c r="J707" i="1" s="1"/>
  <c r="K707" i="1" s="1"/>
  <c r="H793" i="1"/>
  <c r="J793" i="1" s="1"/>
  <c r="K793" i="1" s="1"/>
  <c r="H879" i="1"/>
  <c r="J879" i="1" s="1"/>
  <c r="K879" i="1" s="1"/>
  <c r="H967" i="1"/>
  <c r="J967" i="1" s="1"/>
  <c r="K967" i="1" s="1"/>
  <c r="H239" i="1"/>
  <c r="J239" i="1" s="1"/>
  <c r="K239" i="1" s="1"/>
  <c r="H649" i="1"/>
  <c r="J649" i="1" s="1"/>
  <c r="K649" i="1" s="1"/>
  <c r="H762" i="1"/>
  <c r="J762" i="1" s="1"/>
  <c r="K762" i="1" s="1"/>
  <c r="H890" i="1"/>
  <c r="J890" i="1" s="1"/>
  <c r="K890" i="1" s="1"/>
  <c r="H976" i="1"/>
  <c r="J976" i="1" s="1"/>
  <c r="K976" i="1" s="1"/>
  <c r="H25" i="1"/>
  <c r="J25" i="1" s="1"/>
  <c r="K25" i="1" s="1"/>
  <c r="H57" i="1"/>
  <c r="J57" i="1" s="1"/>
  <c r="K57" i="1" s="1"/>
  <c r="H89" i="1"/>
  <c r="J89" i="1" s="1"/>
  <c r="K89" i="1" s="1"/>
  <c r="H121" i="1"/>
  <c r="J121" i="1" s="1"/>
  <c r="K121" i="1" s="1"/>
  <c r="H153" i="1"/>
  <c r="J153" i="1" s="1"/>
  <c r="K153" i="1" s="1"/>
  <c r="H185" i="1"/>
  <c r="J185" i="1" s="1"/>
  <c r="K185" i="1" s="1"/>
  <c r="H217" i="1"/>
  <c r="J217" i="1" s="1"/>
  <c r="K217" i="1" s="1"/>
  <c r="H249" i="1"/>
  <c r="J249" i="1" s="1"/>
  <c r="K249" i="1" s="1"/>
  <c r="H281" i="1"/>
  <c r="J281" i="1" s="1"/>
  <c r="K281" i="1" s="1"/>
  <c r="H321" i="1"/>
  <c r="J321" i="1" s="1"/>
  <c r="K321" i="1" s="1"/>
  <c r="H361" i="1"/>
  <c r="J361" i="1" s="1"/>
  <c r="K361" i="1" s="1"/>
  <c r="H401" i="1"/>
  <c r="J401" i="1" s="1"/>
  <c r="K401" i="1" s="1"/>
  <c r="H449" i="1"/>
  <c r="J449" i="1" s="1"/>
  <c r="K449" i="1" s="1"/>
  <c r="H489" i="1"/>
  <c r="J489" i="1" s="1"/>
  <c r="K489" i="1" s="1"/>
  <c r="H529" i="1"/>
  <c r="J529" i="1" s="1"/>
  <c r="K529" i="1" s="1"/>
  <c r="H577" i="1"/>
  <c r="J577" i="1" s="1"/>
  <c r="K577" i="1" s="1"/>
  <c r="H617" i="1"/>
  <c r="J617" i="1" s="1"/>
  <c r="K617" i="1" s="1"/>
  <c r="H96" i="1"/>
  <c r="J96" i="1" s="1"/>
  <c r="K96" i="1" s="1"/>
  <c r="H515" i="1"/>
  <c r="J515" i="1" s="1"/>
  <c r="K515" i="1" s="1"/>
  <c r="H699" i="1"/>
  <c r="J699" i="1" s="1"/>
  <c r="K699" i="1" s="1"/>
  <c r="H785" i="1"/>
  <c r="J785" i="1" s="1"/>
  <c r="K785" i="1" s="1"/>
  <c r="H871" i="1"/>
  <c r="J871" i="1" s="1"/>
  <c r="K871" i="1" s="1"/>
  <c r="H961" i="1"/>
  <c r="J961" i="1" s="1"/>
  <c r="K961" i="1" s="1"/>
  <c r="H18" i="1"/>
  <c r="J18" i="1" s="1"/>
  <c r="K18" i="1" s="1"/>
  <c r="H66" i="1"/>
  <c r="J66" i="1" s="1"/>
  <c r="K66" i="1" s="1"/>
  <c r="H106" i="1"/>
  <c r="J106" i="1" s="1"/>
  <c r="K106" i="1" s="1"/>
  <c r="H146" i="1"/>
  <c r="J146" i="1" s="1"/>
  <c r="K146" i="1" s="1"/>
  <c r="H194" i="1"/>
  <c r="J194" i="1" s="1"/>
  <c r="K194" i="1" s="1"/>
  <c r="H234" i="1"/>
  <c r="J234" i="1" s="1"/>
  <c r="K234" i="1" s="1"/>
  <c r="H274" i="1"/>
  <c r="J274" i="1" s="1"/>
  <c r="K274" i="1" s="1"/>
  <c r="H322" i="1"/>
  <c r="J322" i="1" s="1"/>
  <c r="K322" i="1" s="1"/>
  <c r="H362" i="1"/>
  <c r="J362" i="1" s="1"/>
  <c r="K362" i="1" s="1"/>
  <c r="H402" i="1"/>
  <c r="J402" i="1" s="1"/>
  <c r="K402" i="1" s="1"/>
  <c r="H450" i="1"/>
  <c r="J450" i="1" s="1"/>
  <c r="K450" i="1" s="1"/>
  <c r="H490" i="1"/>
  <c r="J490" i="1" s="1"/>
  <c r="K490" i="1" s="1"/>
  <c r="H530" i="1"/>
  <c r="J530" i="1" s="1"/>
  <c r="K530" i="1" s="1"/>
  <c r="H578" i="1"/>
  <c r="J578" i="1" s="1"/>
  <c r="K578" i="1" s="1"/>
  <c r="H626" i="1"/>
  <c r="J626" i="1" s="1"/>
  <c r="K626" i="1" s="1"/>
  <c r="H200" i="1"/>
  <c r="J200" i="1" s="1"/>
  <c r="K200" i="1" s="1"/>
  <c r="H632" i="1"/>
  <c r="J632" i="1" s="1"/>
  <c r="K632" i="1" s="1"/>
  <c r="H776" i="1"/>
  <c r="J776" i="1" s="1"/>
  <c r="K776" i="1" s="1"/>
  <c r="H911" i="1"/>
  <c r="J911" i="1" s="1"/>
  <c r="K911" i="1" s="1"/>
  <c r="H978" i="1"/>
  <c r="J978" i="1" s="1"/>
  <c r="K978" i="1" s="1"/>
  <c r="H35" i="1"/>
  <c r="J35" i="1" s="1"/>
  <c r="K35" i="1" s="1"/>
  <c r="H75" i="1"/>
  <c r="J75" i="1" s="1"/>
  <c r="K75" i="1" s="1"/>
  <c r="H115" i="1"/>
  <c r="J115" i="1" s="1"/>
  <c r="K115" i="1" s="1"/>
  <c r="H163" i="1"/>
  <c r="J163" i="1" s="1"/>
  <c r="K163" i="1" s="1"/>
  <c r="H203" i="1"/>
  <c r="J203" i="1" s="1"/>
  <c r="K203" i="1" s="1"/>
  <c r="H243" i="1"/>
  <c r="J243" i="1" s="1"/>
  <c r="K243" i="1" s="1"/>
  <c r="H291" i="1"/>
  <c r="J291" i="1" s="1"/>
  <c r="K291" i="1" s="1"/>
  <c r="H331" i="1"/>
  <c r="J331" i="1" s="1"/>
  <c r="K331" i="1" s="1"/>
  <c r="H371" i="1"/>
  <c r="J371" i="1" s="1"/>
  <c r="K371" i="1" s="1"/>
  <c r="H411" i="1"/>
  <c r="J411" i="1" s="1"/>
  <c r="K411" i="1" s="1"/>
  <c r="H459" i="1"/>
  <c r="J459" i="1" s="1"/>
  <c r="K459" i="1" s="1"/>
  <c r="H499" i="1"/>
  <c r="J499" i="1" s="1"/>
  <c r="K499" i="1" s="1"/>
  <c r="H539" i="1"/>
  <c r="J539" i="1" s="1"/>
  <c r="K539" i="1" s="1"/>
  <c r="H587" i="1"/>
  <c r="J587" i="1" s="1"/>
  <c r="K587" i="1" s="1"/>
  <c r="H627" i="1"/>
  <c r="J627" i="1" s="1"/>
  <c r="K627" i="1" s="1"/>
  <c r="H211" i="1"/>
  <c r="J211" i="1" s="1"/>
  <c r="K211" i="1" s="1"/>
  <c r="H569" i="1"/>
  <c r="J569" i="1" s="1"/>
  <c r="K569" i="1" s="1"/>
  <c r="H723" i="1"/>
  <c r="J723" i="1" s="1"/>
  <c r="K723" i="1" s="1"/>
  <c r="H809" i="1"/>
  <c r="J809" i="1" s="1"/>
  <c r="K809" i="1" s="1"/>
  <c r="H903" i="1"/>
  <c r="J903" i="1" s="1"/>
  <c r="K903" i="1" s="1"/>
  <c r="H971" i="1"/>
  <c r="J971" i="1" s="1"/>
  <c r="K971" i="1" s="1"/>
  <c r="H314" i="1"/>
  <c r="J314" i="1" s="1"/>
  <c r="K314" i="1" s="1"/>
  <c r="H671" i="1"/>
  <c r="J671" i="1" s="1"/>
  <c r="K671" i="1" s="1"/>
  <c r="H800" i="1"/>
  <c r="J800" i="1" s="1"/>
  <c r="K800" i="1" s="1"/>
  <c r="H913" i="1"/>
  <c r="J913" i="1" s="1"/>
  <c r="K913" i="1" s="1"/>
  <c r="H3" i="1"/>
  <c r="J3" i="1" s="1"/>
  <c r="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<sst xmlns="http://schemas.openxmlformats.org/spreadsheetml/2006/main" count="15" uniqueCount="15">
  <si>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Date</t>
  </si>
  <si>
    <t>City</t>
  </si>
  <si>
    <t>Model</t>
  </si>
  <si>
    <t>Segment</t>
  </si>
  <si>
    <t>Revenue</t>
  </si>
  <si>
    <t>COGS</t>
  </si>
  <si>
    <t>Salesperson</t>
  </si>
  <si>
    <t>SrNo</t>
  </si>
  <si>
    <t>Selling Price</t>
  </si>
  <si>
    <t>Units Sold</t>
  </si>
  <si>
    <t>Service Revenue</t>
  </si>
  <si>
    <t>Customer Type</t>
  </si>
  <si>
    <t>Finance Plan</t>
  </si>
  <si>
    <t>Gross Profit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</si>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</sst>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₹-4009]\ #,##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1" applyFont="1"/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1205-D4A6-FB44-837B-122456948EC4}">
  <dimension ref="A2:O1002"/>
  <sheetViews>
    <sheetView tabSelected="1" topLeftCell="H1" workbookViewId="0">
      <selection activeCell="M7" sqref="M7"/>
    </sheetView>
  </sheetViews>
  <sheetFormatPr baseColWidth="10" defaultRowHeight="16" x14ac:dyDescent="0.2"/>
  <cols>
    <col min="1" max="1" width="11" bestFit="1" customWidth="1"/>
    <col min="2" max="2" width="11.83203125" style="1" bestFit="1" customWidth="1"/>
    <col min="6" max="6" width="11" bestFit="1" customWidth="1"/>
    <col min="7" max="7" width="15.5" style="9" bestFit="1" customWidth="1"/>
    <col min="8" max="8" width="18.1640625" style="9" bestFit="1" customWidth="1"/>
    <col min="9" max="9" width="17" style="9" bestFit="1" customWidth="1"/>
    <col min="10" max="10" width="17" style="9" customWidth="1"/>
    <col min="11" max="11" width="17" customWidth="1"/>
    <col min="12" max="12" width="13.83203125" bestFit="1" customWidth="1"/>
    <col min="13" max="13" width="15.6640625" style="9" bestFit="1" customWidth="1"/>
    <col min="14" max="14" width="14.6640625" bestFit="1" customWidth="1"/>
    <col min="15" max="15" width="12.5" bestFit="1" customWidth="1"/>
  </cols>
  <sheetData>
    <row r="2" spans="1:15" x14ac:dyDescent="0.2">
      <c r="A2" s="2" t="s">
        <v>7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9</v>
      </c>
      <c r="G2" s="7" t="s">
        <v>8</v>
      </c>
      <c r="H2" s="7" t="s">
        <v>4</v>
      </c>
      <c r="I2" s="7" t="s">
        <v>5</v>
      </c>
      <c r="J2" s="7" t="s">
        <v>13</v>
      </c>
      <c r="K2" s="2" t="s">
        <v>14</v>
      </c>
      <c r="L2" s="2" t="s">
        <v>6</v>
      </c>
      <c r="M2" s="7" t="s">
        <v>10</v>
      </c>
      <c r="N2" s="2" t="s">
        <v>11</v>
      </c>
      <c r="O2" s="2" t="s">
        <v>12</v>
      </c>
    </row>
    <row r="3" spans="1:15" x14ac:dyDescent="0.2">
      <c r="A3" s="4">
        <v>1</v>
      </c>
      <c r="B3" s="5">
        <f ca="1">RANDBETWEEN(DATE(2023,1,1),DATE(2025,9,1))</f>
        <v>45872</v>
      </c>
      <c r="C3" s="4" t="str" cm="1">
        <f t="array" aca="1" ref="C3" ca="1">INDEX({"Cochin";"Delhi";"Mumbai";"Pune";"Bengaluru"}, RANDBETWEEN(1,5))</f>
        <v>Pune</v>
      </c>
      <c r="D3" s="4" t="str" cm="1">
        <f t="array" aca="1" ref="D3" ca="1">INDEX({"C-Class";"E-Class";"S-Class";"GLA";"GLC";"GLE";"GLS";"EQB"}, RANDBETWEEN(1,8))</f>
        <v>E-Class</v>
      </c>
      <c r="E3" s="4" t="str">
        <f ca="1">IF(D3="EQB","EV", IF(OR(D3="GLA",D3="GLC",D3="GLE",D3="GLS"),"SUV","Sedan"))</f>
        <v>Sedan</v>
      </c>
      <c r="F3" s="4">
        <f ca="1">RANDBETWEEN(1,5)</f>
        <v>1</v>
      </c>
      <c r="G3" s="8">
        <f ca="1">IF(D3="C-Class",RANDBETWEEN(5500000,7000000),
IF(D3="E-Class",RANDBETWEEN(7500000,9500000),
IF(D3="S-Class",RANDBETWEEN(15000000,25000000),
IF(D3="GLA",RANDBETWEEN(4500000,5500000),
IF(D3="GLC",RANDBETWEEN(6500000,7500000),
IF(D3="GLE",RANDBETWEEN(9000000,13000000),
IF(D3="GLS",RANDBETWEEN(13000000,18000000),
IF(D3="EQB",RANDBETWEEN(7000000,8000000)))))))))</f>
        <v>9468763</v>
      </c>
      <c r="H3" s="8">
        <f ca="1">F3*G3</f>
        <v>9468763</v>
      </c>
      <c r="I3" s="8">
        <f ca="1">G3 *F3* RANDBETWEEN(70,85) / 100</f>
        <v>8048448.5499999998</v>
      </c>
      <c r="J3" s="8">
        <f ca="1">H3 -I3</f>
        <v>1420314.4500000002</v>
      </c>
      <c r="K3" s="6">
        <f ca="1">J3/H3</f>
        <v>0.15000000000000002</v>
      </c>
      <c r="L3" s="4" t="str" cm="1">
        <f t="array" aca="1" ref="L3" ca="1">INDEX({"Arjun Menon";"Rohit Nair";"Aadil Syed";"Sanjay Reddy";"Amit Verma";"Rizwan Shah";"Ankit Mehta";"Pranav Rao";"Aiswarya Pillai";"Nabeel Khan";"Deepika Patil";"Neha Iyer";"Varun Khanna";"Aditya Desai";"Sneha Sharma"}, RANDBETWEEN(1,15))</f>
        <v>Sneha Sharma</v>
      </c>
      <c r="M3" s="8">
        <f ca="1">IF(N3="New", RANDBETWEEN(10000,25000), RANDBETWEEN(3000,8000))</f>
        <v>6498</v>
      </c>
      <c r="N3" s="4" t="str" cm="1">
        <f t="array" aca="1" ref="N3" ca="1">INDEX({"New";"Repeat"}, RANDBETWEEN(1,2))</f>
        <v>Repeat</v>
      </c>
      <c r="O3" s="4" t="str" cm="1">
        <f t="array" aca="1" ref="O3" ca="1">INDEX({"Loan";"Cash";"Lease"}, RANDBETWEEN(1,3))</f>
        <v>Lease</v>
      </c>
    </row>
    <row r="4" spans="1:15" x14ac:dyDescent="0.2">
      <c r="A4" s="4">
        <v>2</v>
      </c>
      <c r="B4" s="5">
        <f t="shared" ref="B4:B67" ca="1" si="0">RANDBETWEEN(DATE(2023,1,1),DATE(2025,9,1))</f>
        <v>45632</v>
      </c>
      <c r="C4" s="4" t="str" cm="1">
        <f t="array" aca="1" ref="C4" ca="1">INDEX({"Cochin";"Delhi";"Mumbai";"Pune";"Bengaluru"}, RANDBETWEEN(1,5))</f>
        <v>Mumbai</v>
      </c>
      <c r="D4" s="4" t="str" cm="1">
        <f t="array" aca="1" ref="D4" ca="1">INDEX({"C-Class";"E-Class";"S-Class";"GLA";"GLC";"GLE";"GLS";"EQB"}, RANDBETWEEN(1,8))</f>
        <v>GLA</v>
      </c>
      <c r="E4" s="4" t="str">
        <f t="shared" ref="E4:E67" ca="1" si="1">IF(D4="EQB","EV", IF(OR(D4="GLA",D4="GLC",D4="GLE",D4="GLS"),"SUV","Sedan"))</f>
        <v>SUV</v>
      </c>
      <c r="F4" s="4">
        <f t="shared" ref="F4:F67" ca="1" si="2">RANDBETWEEN(1,5)</f>
        <v>1</v>
      </c>
      <c r="G4" s="8">
        <f t="shared" ref="G4:G67" ca="1" si="3">IF(D4="C-Class",RANDBETWEEN(5500000,7000000),
IF(D4="E-Class",RANDBETWEEN(7500000,9500000),
IF(D4="S-Class",RANDBETWEEN(15000000,25000000),
IF(D4="GLA",RANDBETWEEN(4500000,5500000),
IF(D4="GLC",RANDBETWEEN(6500000,7500000),
IF(D4="GLE",RANDBETWEEN(9000000,13000000),
IF(D4="GLS",RANDBETWEEN(13000000,18000000),
IF(D4="EQB",RANDBETWEEN(7000000,8000000)))))))))</f>
        <v>5093743</v>
      </c>
      <c r="H4" s="8">
        <f t="shared" ref="H4:H67" ca="1" si="4">F4*G4</f>
        <v>5093743</v>
      </c>
      <c r="I4" s="8">
        <f t="shared" ref="I4:I67" ca="1" si="5">G4 *F4* RANDBETWEEN(70,85) / 100</f>
        <v>4227806.6900000004</v>
      </c>
      <c r="J4" s="8">
        <f t="shared" ref="J4:J67" ca="1" si="6">H4 -I4</f>
        <v>865936.30999999959</v>
      </c>
      <c r="K4" s="6">
        <f t="shared" ref="K4:K67" ca="1" si="7">J4/H4</f>
        <v>0.16999999999999993</v>
      </c>
      <c r="L4" s="4" t="str" cm="1">
        <f t="array" aca="1" ref="L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" s="8">
        <f t="shared" ref="M4:M67" ca="1" si="8">IF(N4="New", RANDBETWEEN(10000,25000), RANDBETWEEN(3000,8000))</f>
        <v>14712</v>
      </c>
      <c r="N4" s="4" t="str" cm="1">
        <f t="array" aca="1" ref="N4" ca="1">INDEX({"New";"Repeat"}, RANDBETWEEN(1,2))</f>
        <v>New</v>
      </c>
      <c r="O4" s="4" t="str" cm="1">
        <f t="array" aca="1" ref="O4" ca="1">INDEX({"Loan";"Cash";"Lease"}, RANDBETWEEN(1,3))</f>
        <v>Lease</v>
      </c>
    </row>
    <row r="5" spans="1:15" x14ac:dyDescent="0.2">
      <c r="A5" s="4">
        <v>3</v>
      </c>
      <c r="B5" s="5">
        <f t="shared" ca="1" si="0"/>
        <v>45425</v>
      </c>
      <c r="C5" s="4" t="str" cm="1">
        <f t="array" aca="1" ref="C5" ca="1">INDEX({"Cochin";"Delhi";"Mumbai";"Pune";"Bengaluru"}, RANDBETWEEN(1,5))</f>
        <v>Delhi</v>
      </c>
      <c r="D5" s="4" t="str" cm="1">
        <f t="array" aca="1" ref="D5" ca="1">INDEX({"C-Class";"E-Class";"S-Class";"GLA";"GLC";"GLE";"GLS";"EQB"}, RANDBETWEEN(1,8))</f>
        <v>EQB</v>
      </c>
      <c r="E5" s="4" t="str">
        <f t="shared" ca="1" si="1"/>
        <v>EV</v>
      </c>
      <c r="F5" s="4">
        <f t="shared" ca="1" si="2"/>
        <v>2</v>
      </c>
      <c r="G5" s="8">
        <f t="shared" ca="1" si="3"/>
        <v>7511141</v>
      </c>
      <c r="H5" s="8">
        <f t="shared" ca="1" si="4"/>
        <v>15022282</v>
      </c>
      <c r="I5" s="8">
        <f t="shared" ca="1" si="5"/>
        <v>10816043.039999999</v>
      </c>
      <c r="J5" s="8">
        <f t="shared" ca="1" si="6"/>
        <v>4206238.9600000009</v>
      </c>
      <c r="K5" s="6">
        <f t="shared" ca="1" si="7"/>
        <v>0.28000000000000008</v>
      </c>
      <c r="L5" s="4" t="str" cm="1">
        <f t="array" aca="1" ref="L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" s="8">
        <f t="shared" ca="1" si="8"/>
        <v>12200</v>
      </c>
      <c r="N5" s="4" t="str" cm="1">
        <f t="array" aca="1" ref="N5" ca="1">INDEX({"New";"Repeat"}, RANDBETWEEN(1,2))</f>
        <v>New</v>
      </c>
      <c r="O5" s="4" t="str" cm="1">
        <f t="array" aca="1" ref="O5" ca="1">INDEX({"Loan";"Cash";"Lease"}, RANDBETWEEN(1,3))</f>
        <v>Loan</v>
      </c>
    </row>
    <row r="6" spans="1:15" x14ac:dyDescent="0.2">
      <c r="A6" s="4">
        <v>4</v>
      </c>
      <c r="B6" s="5">
        <f t="shared" ca="1" si="0"/>
        <v>45828</v>
      </c>
      <c r="C6" s="4" t="str" cm="1">
        <f t="array" aca="1" ref="C6" ca="1">INDEX({"Cochin";"Delhi";"Mumbai";"Pune";"Bengaluru"}, RANDBETWEEN(1,5))</f>
        <v>Bengaluru</v>
      </c>
      <c r="D6" s="4" t="str" cm="1">
        <f t="array" aca="1" ref="D6" ca="1">INDEX({"C-Class";"E-Class";"S-Class";"GLA";"GLC";"GLE";"GLS";"EQB"}, RANDBETWEEN(1,8))</f>
        <v>GLE</v>
      </c>
      <c r="E6" s="4" t="str">
        <f t="shared" ca="1" si="1"/>
        <v>SUV</v>
      </c>
      <c r="F6" s="4">
        <f t="shared" ca="1" si="2"/>
        <v>1</v>
      </c>
      <c r="G6" s="8">
        <f t="shared" ca="1" si="3"/>
        <v>11096125</v>
      </c>
      <c r="H6" s="8">
        <f t="shared" ca="1" si="4"/>
        <v>11096125</v>
      </c>
      <c r="I6" s="8">
        <f t="shared" ca="1" si="5"/>
        <v>8322093.75</v>
      </c>
      <c r="J6" s="8">
        <f t="shared" ca="1" si="6"/>
        <v>2774031.25</v>
      </c>
      <c r="K6" s="6">
        <f t="shared" ca="1" si="7"/>
        <v>0.25</v>
      </c>
      <c r="L6" s="4" t="str" cm="1">
        <f t="array" aca="1" ref="L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" s="8">
        <f t="shared" ca="1" si="8"/>
        <v>12194</v>
      </c>
      <c r="N6" s="4" t="str" cm="1">
        <f t="array" aca="1" ref="N6" ca="1">INDEX({"New";"Repeat"}, RANDBETWEEN(1,2))</f>
        <v>New</v>
      </c>
      <c r="O6" s="4" t="str" cm="1">
        <f t="array" aca="1" ref="O6" ca="1">INDEX({"Loan";"Cash";"Lease"}, RANDBETWEEN(1,3))</f>
        <v>Loan</v>
      </c>
    </row>
    <row r="7" spans="1:15" x14ac:dyDescent="0.2">
      <c r="A7" s="4">
        <v>5</v>
      </c>
      <c r="B7" s="5">
        <f t="shared" ca="1" si="0"/>
        <v>45796</v>
      </c>
      <c r="C7" s="4" t="str" cm="1">
        <f t="array" aca="1" ref="C7" ca="1">INDEX({"Cochin";"Delhi";"Mumbai";"Pune";"Bengaluru"}, RANDBETWEEN(1,5))</f>
        <v>Mumbai</v>
      </c>
      <c r="D7" s="4" t="str" cm="1">
        <f t="array" aca="1" ref="D7" ca="1">INDEX({"C-Class";"E-Class";"S-Class";"GLA";"GLC";"GLE";"GLS";"EQB"}, RANDBETWEEN(1,8))</f>
        <v>C-Class</v>
      </c>
      <c r="E7" s="4" t="str">
        <f t="shared" ca="1" si="1"/>
        <v>Sedan</v>
      </c>
      <c r="F7" s="4">
        <f t="shared" ca="1" si="2"/>
        <v>2</v>
      </c>
      <c r="G7" s="8">
        <f t="shared" ca="1" si="3"/>
        <v>6319839</v>
      </c>
      <c r="H7" s="8">
        <f t="shared" ca="1" si="4"/>
        <v>12639678</v>
      </c>
      <c r="I7" s="8">
        <f t="shared" ca="1" si="5"/>
        <v>10617329.52</v>
      </c>
      <c r="J7" s="8">
        <f t="shared" ca="1" si="6"/>
        <v>2022348.4800000004</v>
      </c>
      <c r="K7" s="6">
        <f t="shared" ca="1" si="7"/>
        <v>0.16000000000000003</v>
      </c>
      <c r="L7" s="4" t="str" cm="1">
        <f t="array" aca="1" ref="L7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" s="8">
        <f t="shared" ca="1" si="8"/>
        <v>3310</v>
      </c>
      <c r="N7" s="4" t="str" cm="1">
        <f t="array" aca="1" ref="N7" ca="1">INDEX({"New";"Repeat"}, RANDBETWEEN(1,2))</f>
        <v>Repeat</v>
      </c>
      <c r="O7" s="4" t="str" cm="1">
        <f t="array" aca="1" ref="O7" ca="1">INDEX({"Loan";"Cash";"Lease"}, RANDBETWEEN(1,3))</f>
        <v>Loan</v>
      </c>
    </row>
    <row r="8" spans="1:15" x14ac:dyDescent="0.2">
      <c r="A8" s="4">
        <v>6</v>
      </c>
      <c r="B8" s="5">
        <f t="shared" ca="1" si="0"/>
        <v>45365</v>
      </c>
      <c r="C8" s="4" t="str" cm="1">
        <f t="array" aca="1" ref="C8" ca="1">INDEX({"Cochin";"Delhi";"Mumbai";"Pune";"Bengaluru"}, RANDBETWEEN(1,5))</f>
        <v>Mumbai</v>
      </c>
      <c r="D8" s="4" t="str" cm="1">
        <f t="array" aca="1" ref="D8" ca="1">INDEX({"C-Class";"E-Class";"S-Class";"GLA";"GLC";"GLE";"GLS";"EQB"}, RANDBETWEEN(1,8))</f>
        <v>EQB</v>
      </c>
      <c r="E8" s="4" t="str">
        <f t="shared" ca="1" si="1"/>
        <v>EV</v>
      </c>
      <c r="F8" s="4">
        <f t="shared" ca="1" si="2"/>
        <v>4</v>
      </c>
      <c r="G8" s="8">
        <f t="shared" ca="1" si="3"/>
        <v>7350342</v>
      </c>
      <c r="H8" s="8">
        <f t="shared" ca="1" si="4"/>
        <v>29401368</v>
      </c>
      <c r="I8" s="8">
        <f t="shared" ca="1" si="5"/>
        <v>22639053.359999999</v>
      </c>
      <c r="J8" s="8">
        <f t="shared" ca="1" si="6"/>
        <v>6762314.6400000006</v>
      </c>
      <c r="K8" s="6">
        <f t="shared" ca="1" si="7"/>
        <v>0.23</v>
      </c>
      <c r="L8" s="4" t="str" cm="1">
        <f t="array" aca="1" ref="L8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" s="8">
        <f t="shared" ca="1" si="8"/>
        <v>16930</v>
      </c>
      <c r="N8" s="4" t="str" cm="1">
        <f t="array" aca="1" ref="N8" ca="1">INDEX({"New";"Repeat"}, RANDBETWEEN(1,2))</f>
        <v>New</v>
      </c>
      <c r="O8" s="4" t="str" cm="1">
        <f t="array" aca="1" ref="O8" ca="1">INDEX({"Loan";"Cash";"Lease"}, RANDBETWEEN(1,3))</f>
        <v>Lease</v>
      </c>
    </row>
    <row r="9" spans="1:15" x14ac:dyDescent="0.2">
      <c r="A9" s="4">
        <v>7</v>
      </c>
      <c r="B9" s="5">
        <f t="shared" ca="1" si="0"/>
        <v>45178</v>
      </c>
      <c r="C9" s="4" t="str" cm="1">
        <f t="array" aca="1" ref="C9" ca="1">INDEX({"Cochin";"Delhi";"Mumbai";"Pune";"Bengaluru"}, RANDBETWEEN(1,5))</f>
        <v>Cochin</v>
      </c>
      <c r="D9" s="4" t="str" cm="1">
        <f t="array" aca="1" ref="D9" ca="1">INDEX({"C-Class";"E-Class";"S-Class";"GLA";"GLC";"GLE";"GLS";"EQB"}, RANDBETWEEN(1,8))</f>
        <v>C-Class</v>
      </c>
      <c r="E9" s="4" t="str">
        <f t="shared" ca="1" si="1"/>
        <v>Sedan</v>
      </c>
      <c r="F9" s="4">
        <f t="shared" ca="1" si="2"/>
        <v>5</v>
      </c>
      <c r="G9" s="8">
        <f t="shared" ca="1" si="3"/>
        <v>6152721</v>
      </c>
      <c r="H9" s="8">
        <f t="shared" ca="1" si="4"/>
        <v>30763605</v>
      </c>
      <c r="I9" s="8">
        <f t="shared" ca="1" si="5"/>
        <v>23687975.850000001</v>
      </c>
      <c r="J9" s="8">
        <f t="shared" ca="1" si="6"/>
        <v>7075629.1499999985</v>
      </c>
      <c r="K9" s="6">
        <f t="shared" ca="1" si="7"/>
        <v>0.22999999999999995</v>
      </c>
      <c r="L9" s="4" t="str" cm="1">
        <f t="array" aca="1" ref="L9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" s="8">
        <f t="shared" ca="1" si="8"/>
        <v>6215</v>
      </c>
      <c r="N9" s="4" t="str" cm="1">
        <f t="array" aca="1" ref="N9" ca="1">INDEX({"New";"Repeat"}, RANDBETWEEN(1,2))</f>
        <v>Repeat</v>
      </c>
      <c r="O9" s="4" t="str" cm="1">
        <f t="array" aca="1" ref="O9" ca="1">INDEX({"Loan";"Cash";"Lease"}, RANDBETWEEN(1,3))</f>
        <v>Lease</v>
      </c>
    </row>
    <row r="10" spans="1:15" x14ac:dyDescent="0.2">
      <c r="A10" s="4">
        <v>8</v>
      </c>
      <c r="B10" s="5">
        <f t="shared" ca="1" si="0"/>
        <v>45130</v>
      </c>
      <c r="C10" s="4" t="str" cm="1">
        <f t="array" aca="1" ref="C10" ca="1">INDEX({"Cochin";"Delhi";"Mumbai";"Pune";"Bengaluru"}, RANDBETWEEN(1,5))</f>
        <v>Pune</v>
      </c>
      <c r="D10" s="4" t="str" cm="1">
        <f t="array" aca="1" ref="D10" ca="1">INDEX({"C-Class";"E-Class";"S-Class";"GLA";"GLC";"GLE";"GLS";"EQB"}, RANDBETWEEN(1,8))</f>
        <v>GLE</v>
      </c>
      <c r="E10" s="4" t="str">
        <f t="shared" ca="1" si="1"/>
        <v>SUV</v>
      </c>
      <c r="F10" s="4">
        <f t="shared" ca="1" si="2"/>
        <v>2</v>
      </c>
      <c r="G10" s="8">
        <f t="shared" ca="1" si="3"/>
        <v>10012473</v>
      </c>
      <c r="H10" s="8">
        <f t="shared" ca="1" si="4"/>
        <v>20024946</v>
      </c>
      <c r="I10" s="8">
        <f t="shared" ca="1" si="5"/>
        <v>15018709.5</v>
      </c>
      <c r="J10" s="8">
        <f t="shared" ca="1" si="6"/>
        <v>5006236.5</v>
      </c>
      <c r="K10" s="6">
        <f t="shared" ca="1" si="7"/>
        <v>0.25</v>
      </c>
      <c r="L10" s="4" t="str" cm="1">
        <f t="array" aca="1" ref="L1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0" s="8">
        <f t="shared" ca="1" si="8"/>
        <v>5711</v>
      </c>
      <c r="N10" s="4" t="str" cm="1">
        <f t="array" aca="1" ref="N10" ca="1">INDEX({"New";"Repeat"}, RANDBETWEEN(1,2))</f>
        <v>Repeat</v>
      </c>
      <c r="O10" s="4" t="str" cm="1">
        <f t="array" aca="1" ref="O10" ca="1">INDEX({"Loan";"Cash";"Lease"}, RANDBETWEEN(1,3))</f>
        <v>Lease</v>
      </c>
    </row>
    <row r="11" spans="1:15" x14ac:dyDescent="0.2">
      <c r="A11" s="4">
        <v>9</v>
      </c>
      <c r="B11" s="5">
        <f t="shared" ca="1" si="0"/>
        <v>45346</v>
      </c>
      <c r="C11" s="4" t="str" cm="1">
        <f t="array" aca="1" ref="C11" ca="1">INDEX({"Cochin";"Delhi";"Mumbai";"Pune";"Bengaluru"}, RANDBETWEEN(1,5))</f>
        <v>Mumbai</v>
      </c>
      <c r="D11" s="4" t="str" cm="1">
        <f t="array" aca="1" ref="D11" ca="1">INDEX({"C-Class";"E-Class";"S-Class";"GLA";"GLC";"GLE";"GLS";"EQB"}, RANDBETWEEN(1,8))</f>
        <v>S-Class</v>
      </c>
      <c r="E11" s="4" t="str">
        <f t="shared" ca="1" si="1"/>
        <v>Sedan</v>
      </c>
      <c r="F11" s="4">
        <f t="shared" ca="1" si="2"/>
        <v>2</v>
      </c>
      <c r="G11" s="8">
        <f t="shared" ca="1" si="3"/>
        <v>18837344</v>
      </c>
      <c r="H11" s="8">
        <f t="shared" ca="1" si="4"/>
        <v>37674688</v>
      </c>
      <c r="I11" s="8">
        <f t="shared" ca="1" si="5"/>
        <v>30893244.16</v>
      </c>
      <c r="J11" s="8">
        <f t="shared" ca="1" si="6"/>
        <v>6781443.8399999999</v>
      </c>
      <c r="K11" s="6">
        <f t="shared" ca="1" si="7"/>
        <v>0.18</v>
      </c>
      <c r="L11" s="4" t="str" cm="1">
        <f t="array" aca="1" ref="L1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1" s="8">
        <f t="shared" ca="1" si="8"/>
        <v>20887</v>
      </c>
      <c r="N11" s="4" t="str" cm="1">
        <f t="array" aca="1" ref="N11" ca="1">INDEX({"New";"Repeat"}, RANDBETWEEN(1,2))</f>
        <v>New</v>
      </c>
      <c r="O11" s="4" t="str" cm="1">
        <f t="array" aca="1" ref="O11" ca="1">INDEX({"Loan";"Cash";"Lease"}, RANDBETWEEN(1,3))</f>
        <v>Lease</v>
      </c>
    </row>
    <row r="12" spans="1:15" x14ac:dyDescent="0.2">
      <c r="A12" s="4">
        <v>10</v>
      </c>
      <c r="B12" s="5">
        <f t="shared" ca="1" si="0"/>
        <v>45564</v>
      </c>
      <c r="C12" s="4" t="str" cm="1">
        <f t="array" aca="1" ref="C12" ca="1">INDEX({"Cochin";"Delhi";"Mumbai";"Pune";"Bengaluru"}, RANDBETWEEN(1,5))</f>
        <v>Cochin</v>
      </c>
      <c r="D12" s="4" t="str" cm="1">
        <f t="array" aca="1" ref="D12" ca="1">INDEX({"C-Class";"E-Class";"S-Class";"GLA";"GLC";"GLE";"GLS";"EQB"}, RANDBETWEEN(1,8))</f>
        <v>GLA</v>
      </c>
      <c r="E12" s="4" t="str">
        <f t="shared" ca="1" si="1"/>
        <v>SUV</v>
      </c>
      <c r="F12" s="4">
        <f t="shared" ca="1" si="2"/>
        <v>5</v>
      </c>
      <c r="G12" s="8">
        <f t="shared" ca="1" si="3"/>
        <v>4678898</v>
      </c>
      <c r="H12" s="8">
        <f t="shared" ca="1" si="4"/>
        <v>23394490</v>
      </c>
      <c r="I12" s="8">
        <f t="shared" ca="1" si="5"/>
        <v>16610087.9</v>
      </c>
      <c r="J12" s="8">
        <f t="shared" ca="1" si="6"/>
        <v>6784402.0999999996</v>
      </c>
      <c r="K12" s="6">
        <f t="shared" ca="1" si="7"/>
        <v>0.28999999999999998</v>
      </c>
      <c r="L12" s="4" t="str" cm="1">
        <f t="array" aca="1" ref="L1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2" s="8">
        <f t="shared" ca="1" si="8"/>
        <v>22478</v>
      </c>
      <c r="N12" s="4" t="str" cm="1">
        <f t="array" aca="1" ref="N12" ca="1">INDEX({"New";"Repeat"}, RANDBETWEEN(1,2))</f>
        <v>New</v>
      </c>
      <c r="O12" s="4" t="str" cm="1">
        <f t="array" aca="1" ref="O12" ca="1">INDEX({"Loan";"Cash";"Lease"}, RANDBETWEEN(1,3))</f>
        <v>Cash</v>
      </c>
    </row>
    <row r="13" spans="1:15" x14ac:dyDescent="0.2">
      <c r="A13" s="4">
        <v>11</v>
      </c>
      <c r="B13" s="5">
        <f t="shared" ca="1" si="0"/>
        <v>45003</v>
      </c>
      <c r="C13" s="4" t="str" cm="1">
        <f t="array" aca="1" ref="C13" ca="1">INDEX({"Cochin";"Delhi";"Mumbai";"Pune";"Bengaluru"}, RANDBETWEEN(1,5))</f>
        <v>Pune</v>
      </c>
      <c r="D13" s="4" t="str" cm="1">
        <f t="array" aca="1" ref="D13" ca="1">INDEX({"C-Class";"E-Class";"S-Class";"GLA";"GLC";"GLE";"GLS";"EQB"}, RANDBETWEEN(1,8))</f>
        <v>GLC</v>
      </c>
      <c r="E13" s="4" t="str">
        <f t="shared" ca="1" si="1"/>
        <v>SUV</v>
      </c>
      <c r="F13" s="4">
        <f t="shared" ca="1" si="2"/>
        <v>1</v>
      </c>
      <c r="G13" s="8">
        <f t="shared" ca="1" si="3"/>
        <v>6809219</v>
      </c>
      <c r="H13" s="8">
        <f t="shared" ca="1" si="4"/>
        <v>6809219</v>
      </c>
      <c r="I13" s="8">
        <f t="shared" ca="1" si="5"/>
        <v>5243098.63</v>
      </c>
      <c r="J13" s="8">
        <f t="shared" ca="1" si="6"/>
        <v>1566120.37</v>
      </c>
      <c r="K13" s="6">
        <f t="shared" ca="1" si="7"/>
        <v>0.23</v>
      </c>
      <c r="L13" s="4" t="str" cm="1">
        <f t="array" aca="1" ref="L1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3" s="8">
        <f t="shared" ca="1" si="8"/>
        <v>10140</v>
      </c>
      <c r="N13" s="4" t="str" cm="1">
        <f t="array" aca="1" ref="N13" ca="1">INDEX({"New";"Repeat"}, RANDBETWEEN(1,2))</f>
        <v>New</v>
      </c>
      <c r="O13" s="4" t="str" cm="1">
        <f t="array" aca="1" ref="O13" ca="1">INDEX({"Loan";"Cash";"Lease"}, RANDBETWEEN(1,3))</f>
        <v>Lease</v>
      </c>
    </row>
    <row r="14" spans="1:15" x14ac:dyDescent="0.2">
      <c r="A14" s="4">
        <v>12</v>
      </c>
      <c r="B14" s="5">
        <f t="shared" ca="1" si="0"/>
        <v>45890</v>
      </c>
      <c r="C14" s="4" t="str" cm="1">
        <f t="array" aca="1" ref="C14" ca="1">INDEX({"Cochin";"Delhi";"Mumbai";"Pune";"Bengaluru"}, RANDBETWEEN(1,5))</f>
        <v>Mumbai</v>
      </c>
      <c r="D14" s="4" t="str" cm="1">
        <f t="array" aca="1" ref="D14" ca="1">INDEX({"C-Class";"E-Class";"S-Class";"GLA";"GLC";"GLE";"GLS";"EQB"}, RANDBETWEEN(1,8))</f>
        <v>GLC</v>
      </c>
      <c r="E14" s="4" t="str">
        <f t="shared" ca="1" si="1"/>
        <v>SUV</v>
      </c>
      <c r="F14" s="4">
        <f t="shared" ca="1" si="2"/>
        <v>3</v>
      </c>
      <c r="G14" s="8">
        <f t="shared" ca="1" si="3"/>
        <v>7318812</v>
      </c>
      <c r="H14" s="8">
        <f t="shared" ca="1" si="4"/>
        <v>21956436</v>
      </c>
      <c r="I14" s="8">
        <f t="shared" ca="1" si="5"/>
        <v>18004277.52</v>
      </c>
      <c r="J14" s="8">
        <f t="shared" ca="1" si="6"/>
        <v>3952158.4800000004</v>
      </c>
      <c r="K14" s="6">
        <f t="shared" ca="1" si="7"/>
        <v>0.18000000000000002</v>
      </c>
      <c r="L14" s="4" t="str" cm="1">
        <f t="array" aca="1" ref="L14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14" s="8">
        <f t="shared" ca="1" si="8"/>
        <v>16420</v>
      </c>
      <c r="N14" s="4" t="str" cm="1">
        <f t="array" aca="1" ref="N14" ca="1">INDEX({"New";"Repeat"}, RANDBETWEEN(1,2))</f>
        <v>New</v>
      </c>
      <c r="O14" s="4" t="str" cm="1">
        <f t="array" aca="1" ref="O14" ca="1">INDEX({"Loan";"Cash";"Lease"}, RANDBETWEEN(1,3))</f>
        <v>Loan</v>
      </c>
    </row>
    <row r="15" spans="1:15" x14ac:dyDescent="0.2">
      <c r="A15" s="4">
        <v>13</v>
      </c>
      <c r="B15" s="5">
        <f t="shared" ca="1" si="0"/>
        <v>45727</v>
      </c>
      <c r="C15" s="4" t="str" cm="1">
        <f t="array" aca="1" ref="C15" ca="1">INDEX({"Cochin";"Delhi";"Mumbai";"Pune";"Bengaluru"}, RANDBETWEEN(1,5))</f>
        <v>Bengaluru</v>
      </c>
      <c r="D15" s="4" t="str" cm="1">
        <f t="array" aca="1" ref="D15" ca="1">INDEX({"C-Class";"E-Class";"S-Class";"GLA";"GLC";"GLE";"GLS";"EQB"}, RANDBETWEEN(1,8))</f>
        <v>GLS</v>
      </c>
      <c r="E15" s="4" t="str">
        <f t="shared" ca="1" si="1"/>
        <v>SUV</v>
      </c>
      <c r="F15" s="4">
        <f t="shared" ca="1" si="2"/>
        <v>1</v>
      </c>
      <c r="G15" s="8">
        <f t="shared" ca="1" si="3"/>
        <v>16694089</v>
      </c>
      <c r="H15" s="8">
        <f t="shared" ca="1" si="4"/>
        <v>16694089</v>
      </c>
      <c r="I15" s="8">
        <f t="shared" ca="1" si="5"/>
        <v>13689152.98</v>
      </c>
      <c r="J15" s="8">
        <f t="shared" ca="1" si="6"/>
        <v>3004936.0199999996</v>
      </c>
      <c r="K15" s="6">
        <f t="shared" ca="1" si="7"/>
        <v>0.17999999999999997</v>
      </c>
      <c r="L15" s="4" t="str" cm="1">
        <f t="array" aca="1" ref="L1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5" s="8">
        <f t="shared" ca="1" si="8"/>
        <v>16603</v>
      </c>
      <c r="N15" s="4" t="str" cm="1">
        <f t="array" aca="1" ref="N15" ca="1">INDEX({"New";"Repeat"}, RANDBETWEEN(1,2))</f>
        <v>New</v>
      </c>
      <c r="O15" s="4" t="str" cm="1">
        <f t="array" aca="1" ref="O15" ca="1">INDEX({"Loan";"Cash";"Lease"}, RANDBETWEEN(1,3))</f>
        <v>Lease</v>
      </c>
    </row>
    <row r="16" spans="1:15" x14ac:dyDescent="0.2">
      <c r="A16" s="4">
        <v>14</v>
      </c>
      <c r="B16" s="5">
        <f t="shared" ca="1" si="0"/>
        <v>45695</v>
      </c>
      <c r="C16" s="4" t="str" cm="1">
        <f t="array" aca="1" ref="C16" ca="1">INDEX({"Cochin";"Delhi";"Mumbai";"Pune";"Bengaluru"}, RANDBETWEEN(1,5))</f>
        <v>Delhi</v>
      </c>
      <c r="D16" s="4" t="str" cm="1">
        <f t="array" aca="1" ref="D16" ca="1">INDEX({"C-Class";"E-Class";"S-Class";"GLA";"GLC";"GLE";"GLS";"EQB"}, RANDBETWEEN(1,8))</f>
        <v>GLC</v>
      </c>
      <c r="E16" s="4" t="str">
        <f t="shared" ca="1" si="1"/>
        <v>SUV</v>
      </c>
      <c r="F16" s="4">
        <f t="shared" ca="1" si="2"/>
        <v>3</v>
      </c>
      <c r="G16" s="8">
        <f t="shared" ca="1" si="3"/>
        <v>6538649</v>
      </c>
      <c r="H16" s="8">
        <f t="shared" ca="1" si="4"/>
        <v>19615947</v>
      </c>
      <c r="I16" s="8">
        <f t="shared" ca="1" si="5"/>
        <v>15692757.6</v>
      </c>
      <c r="J16" s="8">
        <f t="shared" ca="1" si="6"/>
        <v>3923189.4000000004</v>
      </c>
      <c r="K16" s="6">
        <f t="shared" ca="1" si="7"/>
        <v>0.2</v>
      </c>
      <c r="L16" s="4" t="str" cm="1">
        <f t="array" aca="1" ref="L1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6" s="8">
        <f t="shared" ca="1" si="8"/>
        <v>7023</v>
      </c>
      <c r="N16" s="4" t="str" cm="1">
        <f t="array" aca="1" ref="N16" ca="1">INDEX({"New";"Repeat"}, RANDBETWEEN(1,2))</f>
        <v>Repeat</v>
      </c>
      <c r="O16" s="4" t="str" cm="1">
        <f t="array" aca="1" ref="O16" ca="1">INDEX({"Loan";"Cash";"Lease"}, RANDBETWEEN(1,3))</f>
        <v>Cash</v>
      </c>
    </row>
    <row r="17" spans="1:15" x14ac:dyDescent="0.2">
      <c r="A17" s="4">
        <v>15</v>
      </c>
      <c r="B17" s="5">
        <f t="shared" ca="1" si="0"/>
        <v>45440</v>
      </c>
      <c r="C17" s="4" t="str" cm="1">
        <f t="array" aca="1" ref="C17" ca="1">INDEX({"Cochin";"Delhi";"Mumbai";"Pune";"Bengaluru"}, RANDBETWEEN(1,5))</f>
        <v>Delhi</v>
      </c>
      <c r="D17" s="4" t="str" cm="1">
        <f t="array" aca="1" ref="D17" ca="1">INDEX({"C-Class";"E-Class";"S-Class";"GLA";"GLC";"GLE";"GLS";"EQB"}, RANDBETWEEN(1,8))</f>
        <v>E-Class</v>
      </c>
      <c r="E17" s="4" t="str">
        <f t="shared" ca="1" si="1"/>
        <v>Sedan</v>
      </c>
      <c r="F17" s="4">
        <f t="shared" ca="1" si="2"/>
        <v>1</v>
      </c>
      <c r="G17" s="8">
        <f t="shared" ca="1" si="3"/>
        <v>8179817</v>
      </c>
      <c r="H17" s="8">
        <f t="shared" ca="1" si="4"/>
        <v>8179817</v>
      </c>
      <c r="I17" s="8">
        <f t="shared" ca="1" si="5"/>
        <v>6053064.5800000001</v>
      </c>
      <c r="J17" s="8">
        <f t="shared" ca="1" si="6"/>
        <v>2126752.42</v>
      </c>
      <c r="K17" s="6">
        <f t="shared" ca="1" si="7"/>
        <v>0.26</v>
      </c>
      <c r="L17" s="4" t="str" cm="1">
        <f t="array" aca="1" ref="L1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17" s="8">
        <f t="shared" ca="1" si="8"/>
        <v>4679</v>
      </c>
      <c r="N17" s="4" t="str" cm="1">
        <f t="array" aca="1" ref="N17" ca="1">INDEX({"New";"Repeat"}, RANDBETWEEN(1,2))</f>
        <v>Repeat</v>
      </c>
      <c r="O17" s="4" t="str" cm="1">
        <f t="array" aca="1" ref="O17" ca="1">INDEX({"Loan";"Cash";"Lease"}, RANDBETWEEN(1,3))</f>
        <v>Lease</v>
      </c>
    </row>
    <row r="18" spans="1:15" x14ac:dyDescent="0.2">
      <c r="A18" s="4">
        <v>16</v>
      </c>
      <c r="B18" s="5">
        <f t="shared" ca="1" si="0"/>
        <v>45334</v>
      </c>
      <c r="C18" s="4" t="str" cm="1">
        <f t="array" aca="1" ref="C18" ca="1">INDEX({"Cochin";"Delhi";"Mumbai";"Pune";"Bengaluru"}, RANDBETWEEN(1,5))</f>
        <v>Mumbai</v>
      </c>
      <c r="D18" s="4" t="str" cm="1">
        <f t="array" aca="1" ref="D18" ca="1">INDEX({"C-Class";"E-Class";"S-Class";"GLA";"GLC";"GLE";"GLS";"EQB"}, RANDBETWEEN(1,8))</f>
        <v>E-Class</v>
      </c>
      <c r="E18" s="4" t="str">
        <f t="shared" ca="1" si="1"/>
        <v>Sedan</v>
      </c>
      <c r="F18" s="4">
        <f t="shared" ca="1" si="2"/>
        <v>3</v>
      </c>
      <c r="G18" s="8">
        <f t="shared" ca="1" si="3"/>
        <v>8404180</v>
      </c>
      <c r="H18" s="8">
        <f t="shared" ca="1" si="4"/>
        <v>25212540</v>
      </c>
      <c r="I18" s="8">
        <f t="shared" ca="1" si="5"/>
        <v>18909405</v>
      </c>
      <c r="J18" s="8">
        <f t="shared" ca="1" si="6"/>
        <v>6303135</v>
      </c>
      <c r="K18" s="6">
        <f t="shared" ca="1" si="7"/>
        <v>0.25</v>
      </c>
      <c r="L18" s="4" t="str" cm="1">
        <f t="array" aca="1" ref="L18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8" s="8">
        <f t="shared" ca="1" si="8"/>
        <v>5566</v>
      </c>
      <c r="N18" s="4" t="str" cm="1">
        <f t="array" aca="1" ref="N18" ca="1">INDEX({"New";"Repeat"}, RANDBETWEEN(1,2))</f>
        <v>Repeat</v>
      </c>
      <c r="O18" s="4" t="str" cm="1">
        <f t="array" aca="1" ref="O18" ca="1">INDEX({"Loan";"Cash";"Lease"}, RANDBETWEEN(1,3))</f>
        <v>Lease</v>
      </c>
    </row>
    <row r="19" spans="1:15" x14ac:dyDescent="0.2">
      <c r="A19" s="4">
        <v>17</v>
      </c>
      <c r="B19" s="5">
        <f t="shared" ca="1" si="0"/>
        <v>44929</v>
      </c>
      <c r="C19" s="4" t="str" cm="1">
        <f t="array" aca="1" ref="C19" ca="1">INDEX({"Cochin";"Delhi";"Mumbai";"Pune";"Bengaluru"}, RANDBETWEEN(1,5))</f>
        <v>Pune</v>
      </c>
      <c r="D19" s="4" t="str" cm="1">
        <f t="array" aca="1" ref="D19" ca="1">INDEX({"C-Class";"E-Class";"S-Class";"GLA";"GLC";"GLE";"GLS";"EQB"}, RANDBETWEEN(1,8))</f>
        <v>S-Class</v>
      </c>
      <c r="E19" s="4" t="str">
        <f t="shared" ca="1" si="1"/>
        <v>Sedan</v>
      </c>
      <c r="F19" s="4">
        <f t="shared" ca="1" si="2"/>
        <v>1</v>
      </c>
      <c r="G19" s="8">
        <f t="shared" ca="1" si="3"/>
        <v>17802939</v>
      </c>
      <c r="H19" s="8">
        <f t="shared" ca="1" si="4"/>
        <v>17802939</v>
      </c>
      <c r="I19" s="8">
        <f t="shared" ca="1" si="5"/>
        <v>12462057.300000001</v>
      </c>
      <c r="J19" s="8">
        <f t="shared" ca="1" si="6"/>
        <v>5340881.6999999993</v>
      </c>
      <c r="K19" s="6">
        <f t="shared" ca="1" si="7"/>
        <v>0.29999999999999993</v>
      </c>
      <c r="L19" s="4" t="str" cm="1">
        <f t="array" aca="1" ref="L1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9" s="8">
        <f t="shared" ca="1" si="8"/>
        <v>24547</v>
      </c>
      <c r="N19" s="4" t="str" cm="1">
        <f t="array" aca="1" ref="N19" ca="1">INDEX({"New";"Repeat"}, RANDBETWEEN(1,2))</f>
        <v>New</v>
      </c>
      <c r="O19" s="4" t="str" cm="1">
        <f t="array" aca="1" ref="O19" ca="1">INDEX({"Loan";"Cash";"Lease"}, RANDBETWEEN(1,3))</f>
        <v>Loan</v>
      </c>
    </row>
    <row r="20" spans="1:15" x14ac:dyDescent="0.2">
      <c r="A20" s="4">
        <v>18</v>
      </c>
      <c r="B20" s="5">
        <f t="shared" ca="1" si="0"/>
        <v>45488</v>
      </c>
      <c r="C20" s="4" t="str" cm="1">
        <f t="array" aca="1" ref="C20" ca="1">INDEX({"Cochin";"Delhi";"Mumbai";"Pune";"Bengaluru"}, RANDBETWEEN(1,5))</f>
        <v>Delhi</v>
      </c>
      <c r="D20" s="4" t="str" cm="1">
        <f t="array" aca="1" ref="D20" ca="1">INDEX({"C-Class";"E-Class";"S-Class";"GLA";"GLC";"GLE";"GLS";"EQB"}, RANDBETWEEN(1,8))</f>
        <v>E-Class</v>
      </c>
      <c r="E20" s="4" t="str">
        <f t="shared" ca="1" si="1"/>
        <v>Sedan</v>
      </c>
      <c r="F20" s="4">
        <f t="shared" ca="1" si="2"/>
        <v>1</v>
      </c>
      <c r="G20" s="8">
        <f t="shared" ca="1" si="3"/>
        <v>9113920</v>
      </c>
      <c r="H20" s="8">
        <f t="shared" ca="1" si="4"/>
        <v>9113920</v>
      </c>
      <c r="I20" s="8">
        <f t="shared" ca="1" si="5"/>
        <v>7382275.2000000002</v>
      </c>
      <c r="J20" s="8">
        <f t="shared" ca="1" si="6"/>
        <v>1731644.7999999998</v>
      </c>
      <c r="K20" s="6">
        <f t="shared" ca="1" si="7"/>
        <v>0.18999999999999997</v>
      </c>
      <c r="L20" s="4" t="str" cm="1">
        <f t="array" aca="1" ref="L2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0" s="8">
        <f t="shared" ca="1" si="8"/>
        <v>7717</v>
      </c>
      <c r="N20" s="4" t="str" cm="1">
        <f t="array" aca="1" ref="N20" ca="1">INDEX({"New";"Repeat"}, RANDBETWEEN(1,2))</f>
        <v>Repeat</v>
      </c>
      <c r="O20" s="4" t="str" cm="1">
        <f t="array" aca="1" ref="O20" ca="1">INDEX({"Loan";"Cash";"Lease"}, RANDBETWEEN(1,3))</f>
        <v>Cash</v>
      </c>
    </row>
    <row r="21" spans="1:15" x14ac:dyDescent="0.2">
      <c r="A21" s="4">
        <v>19</v>
      </c>
      <c r="B21" s="5">
        <f t="shared" ca="1" si="0"/>
        <v>45872</v>
      </c>
      <c r="C21" s="4" t="str" cm="1">
        <f t="array" aca="1" ref="C21" ca="1">INDEX({"Cochin";"Delhi";"Mumbai";"Pune";"Bengaluru"}, RANDBETWEEN(1,5))</f>
        <v>Pune</v>
      </c>
      <c r="D21" s="4" t="str" cm="1">
        <f t="array" aca="1" ref="D21" ca="1">INDEX({"C-Class";"E-Class";"S-Class";"GLA";"GLC";"GLE";"GLS";"EQB"}, RANDBETWEEN(1,8))</f>
        <v>GLE</v>
      </c>
      <c r="E21" s="4" t="str">
        <f t="shared" ca="1" si="1"/>
        <v>SUV</v>
      </c>
      <c r="F21" s="4">
        <f t="shared" ca="1" si="2"/>
        <v>4</v>
      </c>
      <c r="G21" s="8">
        <f t="shared" ca="1" si="3"/>
        <v>11246312</v>
      </c>
      <c r="H21" s="8">
        <f t="shared" ca="1" si="4"/>
        <v>44985248</v>
      </c>
      <c r="I21" s="8">
        <f t="shared" ca="1" si="5"/>
        <v>32839231.039999999</v>
      </c>
      <c r="J21" s="8">
        <f t="shared" ca="1" si="6"/>
        <v>12146016.960000001</v>
      </c>
      <c r="K21" s="6">
        <f t="shared" ca="1" si="7"/>
        <v>0.27</v>
      </c>
      <c r="L21" s="4" t="str" cm="1">
        <f t="array" aca="1" ref="L21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1" s="8">
        <f t="shared" ca="1" si="8"/>
        <v>5334</v>
      </c>
      <c r="N21" s="4" t="str" cm="1">
        <f t="array" aca="1" ref="N21" ca="1">INDEX({"New";"Repeat"}, RANDBETWEEN(1,2))</f>
        <v>Repeat</v>
      </c>
      <c r="O21" s="4" t="str" cm="1">
        <f t="array" aca="1" ref="O21" ca="1">INDEX({"Loan";"Cash";"Lease"}, RANDBETWEEN(1,3))</f>
        <v>Cash</v>
      </c>
    </row>
    <row r="22" spans="1:15" x14ac:dyDescent="0.2">
      <c r="A22" s="4">
        <v>20</v>
      </c>
      <c r="B22" s="5">
        <f t="shared" ca="1" si="0"/>
        <v>45184</v>
      </c>
      <c r="C22" s="4" t="str" cm="1">
        <f t="array" aca="1" ref="C22" ca="1">INDEX({"Cochin";"Delhi";"Mumbai";"Pune";"Bengaluru"}, RANDBETWEEN(1,5))</f>
        <v>Bengaluru</v>
      </c>
      <c r="D22" s="4" t="str" cm="1">
        <f t="array" aca="1" ref="D22" ca="1">INDEX({"C-Class";"E-Class";"S-Class";"GLA";"GLC";"GLE";"GLS";"EQB"}, RANDBETWEEN(1,8))</f>
        <v>S-Class</v>
      </c>
      <c r="E22" s="4" t="str">
        <f t="shared" ca="1" si="1"/>
        <v>Sedan</v>
      </c>
      <c r="F22" s="4">
        <f t="shared" ca="1" si="2"/>
        <v>1</v>
      </c>
      <c r="G22" s="8">
        <f t="shared" ca="1" si="3"/>
        <v>15657649</v>
      </c>
      <c r="H22" s="8">
        <f t="shared" ca="1" si="4"/>
        <v>15657649</v>
      </c>
      <c r="I22" s="8">
        <f t="shared" ca="1" si="5"/>
        <v>11430083.77</v>
      </c>
      <c r="J22" s="8">
        <f t="shared" ca="1" si="6"/>
        <v>4227565.2300000004</v>
      </c>
      <c r="K22" s="6">
        <f t="shared" ca="1" si="7"/>
        <v>0.27</v>
      </c>
      <c r="L22" s="4" t="str" cm="1">
        <f t="array" aca="1" ref="L2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2" s="8">
        <f t="shared" ca="1" si="8"/>
        <v>20192</v>
      </c>
      <c r="N22" s="4" t="str" cm="1">
        <f t="array" aca="1" ref="N22" ca="1">INDEX({"New";"Repeat"}, RANDBETWEEN(1,2))</f>
        <v>New</v>
      </c>
      <c r="O22" s="4" t="str" cm="1">
        <f t="array" aca="1" ref="O22" ca="1">INDEX({"Loan";"Cash";"Lease"}, RANDBETWEEN(1,3))</f>
        <v>Loan</v>
      </c>
    </row>
    <row r="23" spans="1:15" x14ac:dyDescent="0.2">
      <c r="A23" s="4">
        <v>21</v>
      </c>
      <c r="B23" s="5">
        <f t="shared" ca="1" si="0"/>
        <v>45690</v>
      </c>
      <c r="C23" s="4" t="str" cm="1">
        <f t="array" aca="1" ref="C23" ca="1">INDEX({"Cochin";"Delhi";"Mumbai";"Pune";"Bengaluru"}, RANDBETWEEN(1,5))</f>
        <v>Cochin</v>
      </c>
      <c r="D23" s="4" t="str" cm="1">
        <f t="array" aca="1" ref="D23" ca="1">INDEX({"C-Class";"E-Class";"S-Class";"GLA";"GLC";"GLE";"GLS";"EQB"}, RANDBETWEEN(1,8))</f>
        <v>E-Class</v>
      </c>
      <c r="E23" s="4" t="str">
        <f t="shared" ca="1" si="1"/>
        <v>Sedan</v>
      </c>
      <c r="F23" s="4">
        <f t="shared" ca="1" si="2"/>
        <v>2</v>
      </c>
      <c r="G23" s="8">
        <f t="shared" ca="1" si="3"/>
        <v>8450563</v>
      </c>
      <c r="H23" s="8">
        <f t="shared" ca="1" si="4"/>
        <v>16901126</v>
      </c>
      <c r="I23" s="8">
        <f t="shared" ca="1" si="5"/>
        <v>13520900.800000001</v>
      </c>
      <c r="J23" s="8">
        <f t="shared" ca="1" si="6"/>
        <v>3380225.1999999993</v>
      </c>
      <c r="K23" s="6">
        <f t="shared" ca="1" si="7"/>
        <v>0.19999999999999996</v>
      </c>
      <c r="L23" s="4" t="str" cm="1">
        <f t="array" aca="1" ref="L2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3" s="8">
        <f t="shared" ca="1" si="8"/>
        <v>18183</v>
      </c>
      <c r="N23" s="4" t="str" cm="1">
        <f t="array" aca="1" ref="N23" ca="1">INDEX({"New";"Repeat"}, RANDBETWEEN(1,2))</f>
        <v>New</v>
      </c>
      <c r="O23" s="4" t="str" cm="1">
        <f t="array" aca="1" ref="O23" ca="1">INDEX({"Loan";"Cash";"Lease"}, RANDBETWEEN(1,3))</f>
        <v>Loan</v>
      </c>
    </row>
    <row r="24" spans="1:15" x14ac:dyDescent="0.2">
      <c r="A24" s="4">
        <v>22</v>
      </c>
      <c r="B24" s="5">
        <f t="shared" ca="1" si="0"/>
        <v>45542</v>
      </c>
      <c r="C24" s="4" t="str" cm="1">
        <f t="array" aca="1" ref="C24" ca="1">INDEX({"Cochin";"Delhi";"Mumbai";"Pune";"Bengaluru"}, RANDBETWEEN(1,5))</f>
        <v>Pune</v>
      </c>
      <c r="D24" s="4" t="str" cm="1">
        <f t="array" aca="1" ref="D24" ca="1">INDEX({"C-Class";"E-Class";"S-Class";"GLA";"GLC";"GLE";"GLS";"EQB"}, RANDBETWEEN(1,8))</f>
        <v>EQB</v>
      </c>
      <c r="E24" s="4" t="str">
        <f t="shared" ca="1" si="1"/>
        <v>EV</v>
      </c>
      <c r="F24" s="4">
        <f t="shared" ca="1" si="2"/>
        <v>1</v>
      </c>
      <c r="G24" s="8">
        <f t="shared" ca="1" si="3"/>
        <v>7219438</v>
      </c>
      <c r="H24" s="8">
        <f t="shared" ca="1" si="4"/>
        <v>7219438</v>
      </c>
      <c r="I24" s="8">
        <f t="shared" ca="1" si="5"/>
        <v>5414578.5</v>
      </c>
      <c r="J24" s="8">
        <f t="shared" ca="1" si="6"/>
        <v>1804859.5</v>
      </c>
      <c r="K24" s="6">
        <f t="shared" ca="1" si="7"/>
        <v>0.25</v>
      </c>
      <c r="L24" s="4" t="str" cm="1">
        <f t="array" aca="1" ref="L2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4" s="8">
        <f t="shared" ca="1" si="8"/>
        <v>24762</v>
      </c>
      <c r="N24" s="4" t="str" cm="1">
        <f t="array" aca="1" ref="N24" ca="1">INDEX({"New";"Repeat"}, RANDBETWEEN(1,2))</f>
        <v>New</v>
      </c>
      <c r="O24" s="4" t="str" cm="1">
        <f t="array" aca="1" ref="O24" ca="1">INDEX({"Loan";"Cash";"Lease"}, RANDBETWEEN(1,3))</f>
        <v>Loan</v>
      </c>
    </row>
    <row r="25" spans="1:15" x14ac:dyDescent="0.2">
      <c r="A25" s="4">
        <v>23</v>
      </c>
      <c r="B25" s="5">
        <f t="shared" ca="1" si="0"/>
        <v>45055</v>
      </c>
      <c r="C25" s="4" t="str" cm="1">
        <f t="array" aca="1" ref="C25" ca="1">INDEX({"Cochin";"Delhi";"Mumbai";"Pune";"Bengaluru"}, RANDBETWEEN(1,5))</f>
        <v>Pune</v>
      </c>
      <c r="D25" s="4" t="str" cm="1">
        <f t="array" aca="1" ref="D25" ca="1">INDEX({"C-Class";"E-Class";"S-Class";"GLA";"GLC";"GLE";"GLS";"EQB"}, RANDBETWEEN(1,8))</f>
        <v>GLE</v>
      </c>
      <c r="E25" s="4" t="str">
        <f t="shared" ca="1" si="1"/>
        <v>SUV</v>
      </c>
      <c r="F25" s="4">
        <f t="shared" ca="1" si="2"/>
        <v>3</v>
      </c>
      <c r="G25" s="8">
        <f t="shared" ca="1" si="3"/>
        <v>10989070</v>
      </c>
      <c r="H25" s="8">
        <f t="shared" ca="1" si="4"/>
        <v>32967210</v>
      </c>
      <c r="I25" s="8">
        <f t="shared" ca="1" si="5"/>
        <v>27033112.199999999</v>
      </c>
      <c r="J25" s="8">
        <f t="shared" ca="1" si="6"/>
        <v>5934097.8000000007</v>
      </c>
      <c r="K25" s="6">
        <f t="shared" ca="1" si="7"/>
        <v>0.18000000000000002</v>
      </c>
      <c r="L25" s="4" t="str" cm="1">
        <f t="array" aca="1" ref="L2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5" s="8">
        <f t="shared" ca="1" si="8"/>
        <v>5863</v>
      </c>
      <c r="N25" s="4" t="str" cm="1">
        <f t="array" aca="1" ref="N25" ca="1">INDEX({"New";"Repeat"}, RANDBETWEEN(1,2))</f>
        <v>Repeat</v>
      </c>
      <c r="O25" s="4" t="str" cm="1">
        <f t="array" aca="1" ref="O25" ca="1">INDEX({"Loan";"Cash";"Lease"}, RANDBETWEEN(1,3))</f>
        <v>Cash</v>
      </c>
    </row>
    <row r="26" spans="1:15" x14ac:dyDescent="0.2">
      <c r="A26" s="4">
        <v>24</v>
      </c>
      <c r="B26" s="5">
        <f t="shared" ca="1" si="0"/>
        <v>45514</v>
      </c>
      <c r="C26" s="4" t="str" cm="1">
        <f t="array" aca="1" ref="C26" ca="1">INDEX({"Cochin";"Delhi";"Mumbai";"Pune";"Bengaluru"}, RANDBETWEEN(1,5))</f>
        <v>Cochin</v>
      </c>
      <c r="D26" s="4" t="str" cm="1">
        <f t="array" aca="1" ref="D26" ca="1">INDEX({"C-Class";"E-Class";"S-Class";"GLA";"GLC";"GLE";"GLS";"EQB"}, RANDBETWEEN(1,8))</f>
        <v>GLE</v>
      </c>
      <c r="E26" s="4" t="str">
        <f t="shared" ca="1" si="1"/>
        <v>SUV</v>
      </c>
      <c r="F26" s="4">
        <f t="shared" ca="1" si="2"/>
        <v>1</v>
      </c>
      <c r="G26" s="8">
        <f t="shared" ca="1" si="3"/>
        <v>9647656</v>
      </c>
      <c r="H26" s="8">
        <f t="shared" ca="1" si="4"/>
        <v>9647656</v>
      </c>
      <c r="I26" s="8">
        <f t="shared" ca="1" si="5"/>
        <v>7718124.7999999998</v>
      </c>
      <c r="J26" s="8">
        <f t="shared" ca="1" si="6"/>
        <v>1929531.2000000002</v>
      </c>
      <c r="K26" s="6">
        <f t="shared" ca="1" si="7"/>
        <v>0.2</v>
      </c>
      <c r="L26" s="4" t="str" cm="1">
        <f t="array" aca="1" ref="L2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6" s="8">
        <f t="shared" ca="1" si="8"/>
        <v>4471</v>
      </c>
      <c r="N26" s="4" t="str" cm="1">
        <f t="array" aca="1" ref="N26" ca="1">INDEX({"New";"Repeat"}, RANDBETWEEN(1,2))</f>
        <v>Repeat</v>
      </c>
      <c r="O26" s="4" t="str" cm="1">
        <f t="array" aca="1" ref="O26" ca="1">INDEX({"Loan";"Cash";"Lease"}, RANDBETWEEN(1,3))</f>
        <v>Loan</v>
      </c>
    </row>
    <row r="27" spans="1:15" x14ac:dyDescent="0.2">
      <c r="A27" s="4">
        <v>25</v>
      </c>
      <c r="B27" s="5">
        <f t="shared" ca="1" si="0"/>
        <v>45251</v>
      </c>
      <c r="C27" s="4" t="str" cm="1">
        <f t="array" aca="1" ref="C27" ca="1">INDEX({"Cochin";"Delhi";"Mumbai";"Pune";"Bengaluru"}, RANDBETWEEN(1,5))</f>
        <v>Pune</v>
      </c>
      <c r="D27" s="4" t="str" cm="1">
        <f t="array" aca="1" ref="D27" ca="1">INDEX({"C-Class";"E-Class";"S-Class";"GLA";"GLC";"GLE";"GLS";"EQB"}, RANDBETWEEN(1,8))</f>
        <v>S-Class</v>
      </c>
      <c r="E27" s="4" t="str">
        <f t="shared" ca="1" si="1"/>
        <v>Sedan</v>
      </c>
      <c r="F27" s="4">
        <f t="shared" ca="1" si="2"/>
        <v>3</v>
      </c>
      <c r="G27" s="8">
        <f t="shared" ca="1" si="3"/>
        <v>19683638</v>
      </c>
      <c r="H27" s="8">
        <f t="shared" ca="1" si="4"/>
        <v>59050914</v>
      </c>
      <c r="I27" s="8">
        <f t="shared" ca="1" si="5"/>
        <v>43697676.359999999</v>
      </c>
      <c r="J27" s="8">
        <f t="shared" ca="1" si="6"/>
        <v>15353237.640000001</v>
      </c>
      <c r="K27" s="6">
        <f t="shared" ca="1" si="7"/>
        <v>0.26</v>
      </c>
      <c r="L27" s="4" t="str" cm="1">
        <f t="array" aca="1" ref="L27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27" s="8">
        <f t="shared" ca="1" si="8"/>
        <v>5042</v>
      </c>
      <c r="N27" s="4" t="str" cm="1">
        <f t="array" aca="1" ref="N27" ca="1">INDEX({"New";"Repeat"}, RANDBETWEEN(1,2))</f>
        <v>Repeat</v>
      </c>
      <c r="O27" s="4" t="str" cm="1">
        <f t="array" aca="1" ref="O27" ca="1">INDEX({"Loan";"Cash";"Lease"}, RANDBETWEEN(1,3))</f>
        <v>Lease</v>
      </c>
    </row>
    <row r="28" spans="1:15" x14ac:dyDescent="0.2">
      <c r="A28" s="4">
        <v>26</v>
      </c>
      <c r="B28" s="5">
        <f t="shared" ca="1" si="0"/>
        <v>45582</v>
      </c>
      <c r="C28" s="4" t="str" cm="1">
        <f t="array" aca="1" ref="C28" ca="1">INDEX({"Cochin";"Delhi";"Mumbai";"Pune";"Bengaluru"}, RANDBETWEEN(1,5))</f>
        <v>Mumbai</v>
      </c>
      <c r="D28" s="4" t="str" cm="1">
        <f t="array" aca="1" ref="D28" ca="1">INDEX({"C-Class";"E-Class";"S-Class";"GLA";"GLC";"GLE";"GLS";"EQB"}, RANDBETWEEN(1,8))</f>
        <v>S-Class</v>
      </c>
      <c r="E28" s="4" t="str">
        <f t="shared" ca="1" si="1"/>
        <v>Sedan</v>
      </c>
      <c r="F28" s="4">
        <f t="shared" ca="1" si="2"/>
        <v>5</v>
      </c>
      <c r="G28" s="8">
        <f t="shared" ca="1" si="3"/>
        <v>17231508</v>
      </c>
      <c r="H28" s="8">
        <f t="shared" ca="1" si="4"/>
        <v>86157540</v>
      </c>
      <c r="I28" s="8">
        <f t="shared" ca="1" si="5"/>
        <v>67202881.200000003</v>
      </c>
      <c r="J28" s="8">
        <f t="shared" ca="1" si="6"/>
        <v>18954658.799999997</v>
      </c>
      <c r="K28" s="6">
        <f t="shared" ca="1" si="7"/>
        <v>0.21999999999999997</v>
      </c>
      <c r="L28" s="4" t="str" cm="1">
        <f t="array" aca="1" ref="L2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8" s="8">
        <f t="shared" ca="1" si="8"/>
        <v>15205</v>
      </c>
      <c r="N28" s="4" t="str" cm="1">
        <f t="array" aca="1" ref="N28" ca="1">INDEX({"New";"Repeat"}, RANDBETWEEN(1,2))</f>
        <v>New</v>
      </c>
      <c r="O28" s="4" t="str" cm="1">
        <f t="array" aca="1" ref="O28" ca="1">INDEX({"Loan";"Cash";"Lease"}, RANDBETWEEN(1,3))</f>
        <v>Lease</v>
      </c>
    </row>
    <row r="29" spans="1:15" x14ac:dyDescent="0.2">
      <c r="A29" s="4">
        <v>27</v>
      </c>
      <c r="B29" s="5">
        <f t="shared" ca="1" si="0"/>
        <v>45826</v>
      </c>
      <c r="C29" s="4" t="str" cm="1">
        <f t="array" aca="1" ref="C29" ca="1">INDEX({"Cochin";"Delhi";"Mumbai";"Pune";"Bengaluru"}, RANDBETWEEN(1,5))</f>
        <v>Mumbai</v>
      </c>
      <c r="D29" s="4" t="str" cm="1">
        <f t="array" aca="1" ref="D29" ca="1">INDEX({"C-Class";"E-Class";"S-Class";"GLA";"GLC";"GLE";"GLS";"EQB"}, RANDBETWEEN(1,8))</f>
        <v>GLC</v>
      </c>
      <c r="E29" s="4" t="str">
        <f t="shared" ca="1" si="1"/>
        <v>SUV</v>
      </c>
      <c r="F29" s="4">
        <f t="shared" ca="1" si="2"/>
        <v>3</v>
      </c>
      <c r="G29" s="8">
        <f t="shared" ca="1" si="3"/>
        <v>7056422</v>
      </c>
      <c r="H29" s="8">
        <f t="shared" ca="1" si="4"/>
        <v>21169266</v>
      </c>
      <c r="I29" s="8">
        <f t="shared" ca="1" si="5"/>
        <v>17147105.460000001</v>
      </c>
      <c r="J29" s="8">
        <f t="shared" ca="1" si="6"/>
        <v>4022160.5399999991</v>
      </c>
      <c r="K29" s="6">
        <f t="shared" ca="1" si="7"/>
        <v>0.18999999999999995</v>
      </c>
      <c r="L29" s="4" t="str" cm="1">
        <f t="array" aca="1" ref="L2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9" s="8">
        <f t="shared" ca="1" si="8"/>
        <v>20783</v>
      </c>
      <c r="N29" s="4" t="str" cm="1">
        <f t="array" aca="1" ref="N29" ca="1">INDEX({"New";"Repeat"}, RANDBETWEEN(1,2))</f>
        <v>New</v>
      </c>
      <c r="O29" s="4" t="str" cm="1">
        <f t="array" aca="1" ref="O29" ca="1">INDEX({"Loan";"Cash";"Lease"}, RANDBETWEEN(1,3))</f>
        <v>Cash</v>
      </c>
    </row>
    <row r="30" spans="1:15" x14ac:dyDescent="0.2">
      <c r="A30" s="4">
        <v>28</v>
      </c>
      <c r="B30" s="5">
        <f t="shared" ca="1" si="0"/>
        <v>45527</v>
      </c>
      <c r="C30" s="4" t="str" cm="1">
        <f t="array" aca="1" ref="C30" ca="1">INDEX({"Cochin";"Delhi";"Mumbai";"Pune";"Bengaluru"}, RANDBETWEEN(1,5))</f>
        <v>Cochin</v>
      </c>
      <c r="D30" s="4" t="str" cm="1">
        <f t="array" aca="1" ref="D30" ca="1">INDEX({"C-Class";"E-Class";"S-Class";"GLA";"GLC";"GLE";"GLS";"EQB"}, RANDBETWEEN(1,8))</f>
        <v>GLE</v>
      </c>
      <c r="E30" s="4" t="str">
        <f t="shared" ca="1" si="1"/>
        <v>SUV</v>
      </c>
      <c r="F30" s="4">
        <f t="shared" ca="1" si="2"/>
        <v>1</v>
      </c>
      <c r="G30" s="8">
        <f t="shared" ca="1" si="3"/>
        <v>9053949</v>
      </c>
      <c r="H30" s="8">
        <f t="shared" ca="1" si="4"/>
        <v>9053949</v>
      </c>
      <c r="I30" s="8">
        <f t="shared" ca="1" si="5"/>
        <v>6428303.79</v>
      </c>
      <c r="J30" s="8">
        <f t="shared" ca="1" si="6"/>
        <v>2625645.21</v>
      </c>
      <c r="K30" s="6">
        <f t="shared" ca="1" si="7"/>
        <v>0.28999999999999998</v>
      </c>
      <c r="L30" s="4" t="str" cm="1">
        <f t="array" aca="1" ref="L3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30" s="8">
        <f t="shared" ca="1" si="8"/>
        <v>17658</v>
      </c>
      <c r="N30" s="4" t="str" cm="1">
        <f t="array" aca="1" ref="N30" ca="1">INDEX({"New";"Repeat"}, RANDBETWEEN(1,2))</f>
        <v>New</v>
      </c>
      <c r="O30" s="4" t="str" cm="1">
        <f t="array" aca="1" ref="O30" ca="1">INDEX({"Loan";"Cash";"Lease"}, RANDBETWEEN(1,3))</f>
        <v>Lease</v>
      </c>
    </row>
    <row r="31" spans="1:15" x14ac:dyDescent="0.2">
      <c r="A31" s="4">
        <v>29</v>
      </c>
      <c r="B31" s="5">
        <f t="shared" ca="1" si="0"/>
        <v>45076</v>
      </c>
      <c r="C31" s="4" t="str" cm="1">
        <f t="array" aca="1" ref="C31" ca="1">INDEX({"Cochin";"Delhi";"Mumbai";"Pune";"Bengaluru"}, RANDBETWEEN(1,5))</f>
        <v>Bengaluru</v>
      </c>
      <c r="D31" s="4" t="str" cm="1">
        <f t="array" aca="1" ref="D31" ca="1">INDEX({"C-Class";"E-Class";"S-Class";"GLA";"GLC";"GLE";"GLS";"EQB"}, RANDBETWEEN(1,8))</f>
        <v>GLS</v>
      </c>
      <c r="E31" s="4" t="str">
        <f t="shared" ca="1" si="1"/>
        <v>SUV</v>
      </c>
      <c r="F31" s="4">
        <f t="shared" ca="1" si="2"/>
        <v>2</v>
      </c>
      <c r="G31" s="8">
        <f t="shared" ca="1" si="3"/>
        <v>16955127</v>
      </c>
      <c r="H31" s="8">
        <f t="shared" ca="1" si="4"/>
        <v>33910254</v>
      </c>
      <c r="I31" s="8">
        <f t="shared" ca="1" si="5"/>
        <v>28823715.899999999</v>
      </c>
      <c r="J31" s="8">
        <f t="shared" ca="1" si="6"/>
        <v>5086538.1000000015</v>
      </c>
      <c r="K31" s="6">
        <f t="shared" ca="1" si="7"/>
        <v>0.15000000000000005</v>
      </c>
      <c r="L31" s="4" t="str" cm="1">
        <f t="array" aca="1" ref="L3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31" s="8">
        <f t="shared" ca="1" si="8"/>
        <v>10285</v>
      </c>
      <c r="N31" s="4" t="str" cm="1">
        <f t="array" aca="1" ref="N31" ca="1">INDEX({"New";"Repeat"}, RANDBETWEEN(1,2))</f>
        <v>New</v>
      </c>
      <c r="O31" s="4" t="str" cm="1">
        <f t="array" aca="1" ref="O31" ca="1">INDEX({"Loan";"Cash";"Lease"}, RANDBETWEEN(1,3))</f>
        <v>Loan</v>
      </c>
    </row>
    <row r="32" spans="1:15" x14ac:dyDescent="0.2">
      <c r="A32" s="4">
        <v>30</v>
      </c>
      <c r="B32" s="5">
        <f t="shared" ca="1" si="0"/>
        <v>45811</v>
      </c>
      <c r="C32" s="4" t="str" cm="1">
        <f t="array" aca="1" ref="C32" ca="1">INDEX({"Cochin";"Delhi";"Mumbai";"Pune";"Bengaluru"}, RANDBETWEEN(1,5))</f>
        <v>Mumbai</v>
      </c>
      <c r="D32" s="4" t="str" cm="1">
        <f t="array" aca="1" ref="D32" ca="1">INDEX({"C-Class";"E-Class";"S-Class";"GLA";"GLC";"GLE";"GLS";"EQB"}, RANDBETWEEN(1,8))</f>
        <v>EQB</v>
      </c>
      <c r="E32" s="4" t="str">
        <f t="shared" ca="1" si="1"/>
        <v>EV</v>
      </c>
      <c r="F32" s="4">
        <f t="shared" ca="1" si="2"/>
        <v>1</v>
      </c>
      <c r="G32" s="8">
        <f t="shared" ca="1" si="3"/>
        <v>7407909</v>
      </c>
      <c r="H32" s="8">
        <f t="shared" ca="1" si="4"/>
        <v>7407909</v>
      </c>
      <c r="I32" s="8">
        <f t="shared" ca="1" si="5"/>
        <v>6222643.5599999996</v>
      </c>
      <c r="J32" s="8">
        <f t="shared" ca="1" si="6"/>
        <v>1185265.4400000004</v>
      </c>
      <c r="K32" s="6">
        <f t="shared" ca="1" si="7"/>
        <v>0.16000000000000006</v>
      </c>
      <c r="L32" s="4" t="str" cm="1">
        <f t="array" aca="1" ref="L3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2" s="8">
        <f t="shared" ca="1" si="8"/>
        <v>20780</v>
      </c>
      <c r="N32" s="4" t="str" cm="1">
        <f t="array" aca="1" ref="N32" ca="1">INDEX({"New";"Repeat"}, RANDBETWEEN(1,2))</f>
        <v>New</v>
      </c>
      <c r="O32" s="4" t="str" cm="1">
        <f t="array" aca="1" ref="O32" ca="1">INDEX({"Loan";"Cash";"Lease"}, RANDBETWEEN(1,3))</f>
        <v>Cash</v>
      </c>
    </row>
    <row r="33" spans="1:15" x14ac:dyDescent="0.2">
      <c r="A33" s="4">
        <v>31</v>
      </c>
      <c r="B33" s="5">
        <f t="shared" ca="1" si="0"/>
        <v>45430</v>
      </c>
      <c r="C33" s="4" t="str" cm="1">
        <f t="array" aca="1" ref="C33" ca="1">INDEX({"Cochin";"Delhi";"Mumbai";"Pune";"Bengaluru"}, RANDBETWEEN(1,5))</f>
        <v>Mumbai</v>
      </c>
      <c r="D33" s="4" t="str" cm="1">
        <f t="array" aca="1" ref="D33" ca="1">INDEX({"C-Class";"E-Class";"S-Class";"GLA";"GLC";"GLE";"GLS";"EQB"}, RANDBETWEEN(1,8))</f>
        <v>E-Class</v>
      </c>
      <c r="E33" s="4" t="str">
        <f t="shared" ca="1" si="1"/>
        <v>Sedan</v>
      </c>
      <c r="F33" s="4">
        <f t="shared" ca="1" si="2"/>
        <v>3</v>
      </c>
      <c r="G33" s="8">
        <f t="shared" ca="1" si="3"/>
        <v>9408642</v>
      </c>
      <c r="H33" s="8">
        <f t="shared" ca="1" si="4"/>
        <v>28225926</v>
      </c>
      <c r="I33" s="8">
        <f t="shared" ca="1" si="5"/>
        <v>23709777.84</v>
      </c>
      <c r="J33" s="8">
        <f t="shared" ca="1" si="6"/>
        <v>4516148.16</v>
      </c>
      <c r="K33" s="6">
        <f t="shared" ca="1" si="7"/>
        <v>0.16</v>
      </c>
      <c r="L33" s="4" t="str" cm="1">
        <f t="array" aca="1" ref="L3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33" s="8">
        <f t="shared" ca="1" si="8"/>
        <v>5789</v>
      </c>
      <c r="N33" s="4" t="str" cm="1">
        <f t="array" aca="1" ref="N33" ca="1">INDEX({"New";"Repeat"}, RANDBETWEEN(1,2))</f>
        <v>Repeat</v>
      </c>
      <c r="O33" s="4" t="str" cm="1">
        <f t="array" aca="1" ref="O33" ca="1">INDEX({"Loan";"Cash";"Lease"}, RANDBETWEEN(1,3))</f>
        <v>Lease</v>
      </c>
    </row>
    <row r="34" spans="1:15" x14ac:dyDescent="0.2">
      <c r="A34" s="4">
        <v>32</v>
      </c>
      <c r="B34" s="5">
        <f t="shared" ca="1" si="0"/>
        <v>45757</v>
      </c>
      <c r="C34" s="4" t="str" cm="1">
        <f t="array" aca="1" ref="C34" ca="1">INDEX({"Cochin";"Delhi";"Mumbai";"Pune";"Bengaluru"}, RANDBETWEEN(1,5))</f>
        <v>Cochin</v>
      </c>
      <c r="D34" s="4" t="str" cm="1">
        <f t="array" aca="1" ref="D34" ca="1">INDEX({"C-Class";"E-Class";"S-Class";"GLA";"GLC";"GLE";"GLS";"EQB"}, RANDBETWEEN(1,8))</f>
        <v>GLC</v>
      </c>
      <c r="E34" s="4" t="str">
        <f t="shared" ca="1" si="1"/>
        <v>SUV</v>
      </c>
      <c r="F34" s="4">
        <f t="shared" ca="1" si="2"/>
        <v>1</v>
      </c>
      <c r="G34" s="8">
        <f t="shared" ca="1" si="3"/>
        <v>7112810</v>
      </c>
      <c r="H34" s="8">
        <f t="shared" ca="1" si="4"/>
        <v>7112810</v>
      </c>
      <c r="I34" s="8">
        <f t="shared" ca="1" si="5"/>
        <v>5761376.0999999996</v>
      </c>
      <c r="J34" s="8">
        <f t="shared" ca="1" si="6"/>
        <v>1351433.9000000004</v>
      </c>
      <c r="K34" s="6">
        <f t="shared" ca="1" si="7"/>
        <v>0.19000000000000006</v>
      </c>
      <c r="L34" s="4" t="str" cm="1">
        <f t="array" aca="1" ref="L3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4" s="8">
        <f t="shared" ca="1" si="8"/>
        <v>4564</v>
      </c>
      <c r="N34" s="4" t="str" cm="1">
        <f t="array" aca="1" ref="N34" ca="1">INDEX({"New";"Repeat"}, RANDBETWEEN(1,2))</f>
        <v>Repeat</v>
      </c>
      <c r="O34" s="4" t="str" cm="1">
        <f t="array" aca="1" ref="O34" ca="1">INDEX({"Loan";"Cash";"Lease"}, RANDBETWEEN(1,3))</f>
        <v>Cash</v>
      </c>
    </row>
    <row r="35" spans="1:15" x14ac:dyDescent="0.2">
      <c r="A35" s="4">
        <v>33</v>
      </c>
      <c r="B35" s="5">
        <f t="shared" ca="1" si="0"/>
        <v>45559</v>
      </c>
      <c r="C35" s="4" t="str" cm="1">
        <f t="array" aca="1" ref="C35" ca="1">INDEX({"Cochin";"Delhi";"Mumbai";"Pune";"Bengaluru"}, RANDBETWEEN(1,5))</f>
        <v>Mumbai</v>
      </c>
      <c r="D35" s="4" t="str" cm="1">
        <f t="array" aca="1" ref="D35" ca="1">INDEX({"C-Class";"E-Class";"S-Class";"GLA";"GLC";"GLE";"GLS";"EQB"}, RANDBETWEEN(1,8))</f>
        <v>S-Class</v>
      </c>
      <c r="E35" s="4" t="str">
        <f t="shared" ca="1" si="1"/>
        <v>Sedan</v>
      </c>
      <c r="F35" s="4">
        <f t="shared" ca="1" si="2"/>
        <v>5</v>
      </c>
      <c r="G35" s="8">
        <f t="shared" ca="1" si="3"/>
        <v>23566129</v>
      </c>
      <c r="H35" s="8">
        <f t="shared" ca="1" si="4"/>
        <v>117830645</v>
      </c>
      <c r="I35" s="8">
        <f t="shared" ca="1" si="5"/>
        <v>84838064.400000006</v>
      </c>
      <c r="J35" s="8">
        <f t="shared" ca="1" si="6"/>
        <v>32992580.599999994</v>
      </c>
      <c r="K35" s="6">
        <f t="shared" ca="1" si="7"/>
        <v>0.27999999999999997</v>
      </c>
      <c r="L35" s="4" t="str" cm="1">
        <f t="array" aca="1" ref="L35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5" s="8">
        <f t="shared" ca="1" si="8"/>
        <v>7250</v>
      </c>
      <c r="N35" s="4" t="str" cm="1">
        <f t="array" aca="1" ref="N35" ca="1">INDEX({"New";"Repeat"}, RANDBETWEEN(1,2))</f>
        <v>Repeat</v>
      </c>
      <c r="O35" s="4" t="str" cm="1">
        <f t="array" aca="1" ref="O35" ca="1">INDEX({"Loan";"Cash";"Lease"}, RANDBETWEEN(1,3))</f>
        <v>Lease</v>
      </c>
    </row>
    <row r="36" spans="1:15" x14ac:dyDescent="0.2">
      <c r="A36" s="4">
        <v>34</v>
      </c>
      <c r="B36" s="5">
        <f t="shared" ca="1" si="0"/>
        <v>45830</v>
      </c>
      <c r="C36" s="4" t="str" cm="1">
        <f t="array" aca="1" ref="C36" ca="1">INDEX({"Cochin";"Delhi";"Mumbai";"Pune";"Bengaluru"}, RANDBETWEEN(1,5))</f>
        <v>Pune</v>
      </c>
      <c r="D36" s="4" t="str" cm="1">
        <f t="array" aca="1" ref="D36" ca="1">INDEX({"C-Class";"E-Class";"S-Class";"GLA";"GLC";"GLE";"GLS";"EQB"}, RANDBETWEEN(1,8))</f>
        <v>S-Class</v>
      </c>
      <c r="E36" s="4" t="str">
        <f t="shared" ca="1" si="1"/>
        <v>Sedan</v>
      </c>
      <c r="F36" s="4">
        <f t="shared" ca="1" si="2"/>
        <v>5</v>
      </c>
      <c r="G36" s="8">
        <f t="shared" ca="1" si="3"/>
        <v>15698810</v>
      </c>
      <c r="H36" s="8">
        <f t="shared" ca="1" si="4"/>
        <v>78494050</v>
      </c>
      <c r="I36" s="8">
        <f t="shared" ca="1" si="5"/>
        <v>54945835</v>
      </c>
      <c r="J36" s="8">
        <f t="shared" ca="1" si="6"/>
        <v>23548215</v>
      </c>
      <c r="K36" s="6">
        <f t="shared" ca="1" si="7"/>
        <v>0.3</v>
      </c>
      <c r="L36" s="4" t="str" cm="1">
        <f t="array" aca="1" ref="L3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6" s="8">
        <f t="shared" ca="1" si="8"/>
        <v>22476</v>
      </c>
      <c r="N36" s="4" t="str" cm="1">
        <f t="array" aca="1" ref="N36" ca="1">INDEX({"New";"Repeat"}, RANDBETWEEN(1,2))</f>
        <v>New</v>
      </c>
      <c r="O36" s="4" t="str" cm="1">
        <f t="array" aca="1" ref="O36" ca="1">INDEX({"Loan";"Cash";"Lease"}, RANDBETWEEN(1,3))</f>
        <v>Loan</v>
      </c>
    </row>
    <row r="37" spans="1:15" x14ac:dyDescent="0.2">
      <c r="A37" s="4">
        <v>35</v>
      </c>
      <c r="B37" s="5">
        <f t="shared" ca="1" si="0"/>
        <v>45683</v>
      </c>
      <c r="C37" s="4" t="str" cm="1">
        <f t="array" aca="1" ref="C37" ca="1">INDEX({"Cochin";"Delhi";"Mumbai";"Pune";"Bengaluru"}, RANDBETWEEN(1,5))</f>
        <v>Mumbai</v>
      </c>
      <c r="D37" s="4" t="str" cm="1">
        <f t="array" aca="1" ref="D37" ca="1">INDEX({"C-Class";"E-Class";"S-Class";"GLA";"GLC";"GLE";"GLS";"EQB"}, RANDBETWEEN(1,8))</f>
        <v>E-Class</v>
      </c>
      <c r="E37" s="4" t="str">
        <f t="shared" ca="1" si="1"/>
        <v>Sedan</v>
      </c>
      <c r="F37" s="4">
        <f t="shared" ca="1" si="2"/>
        <v>5</v>
      </c>
      <c r="G37" s="8">
        <f t="shared" ca="1" si="3"/>
        <v>8648970</v>
      </c>
      <c r="H37" s="8">
        <f t="shared" ca="1" si="4"/>
        <v>43244850</v>
      </c>
      <c r="I37" s="8">
        <f t="shared" ca="1" si="5"/>
        <v>32001189</v>
      </c>
      <c r="J37" s="8">
        <f t="shared" ca="1" si="6"/>
        <v>11243661</v>
      </c>
      <c r="K37" s="6">
        <f t="shared" ca="1" si="7"/>
        <v>0.26</v>
      </c>
      <c r="L37" s="4" t="str" cm="1">
        <f t="array" aca="1" ref="L3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7" s="8">
        <f t="shared" ca="1" si="8"/>
        <v>10166</v>
      </c>
      <c r="N37" s="4" t="str" cm="1">
        <f t="array" aca="1" ref="N37" ca="1">INDEX({"New";"Repeat"}, RANDBETWEEN(1,2))</f>
        <v>New</v>
      </c>
      <c r="O37" s="4" t="str" cm="1">
        <f t="array" aca="1" ref="O37" ca="1">INDEX({"Loan";"Cash";"Lease"}, RANDBETWEEN(1,3))</f>
        <v>Loan</v>
      </c>
    </row>
    <row r="38" spans="1:15" x14ac:dyDescent="0.2">
      <c r="A38" s="4">
        <v>36</v>
      </c>
      <c r="B38" s="5">
        <f t="shared" ca="1" si="0"/>
        <v>45120</v>
      </c>
      <c r="C38" s="4" t="str" cm="1">
        <f t="array" aca="1" ref="C38" ca="1">INDEX({"Cochin";"Delhi";"Mumbai";"Pune";"Bengaluru"}, RANDBETWEEN(1,5))</f>
        <v>Delhi</v>
      </c>
      <c r="D38" s="4" t="str" cm="1">
        <f t="array" aca="1" ref="D38" ca="1">INDEX({"C-Class";"E-Class";"S-Class";"GLA";"GLC";"GLE";"GLS";"EQB"}, RANDBETWEEN(1,8))</f>
        <v>EQB</v>
      </c>
      <c r="E38" s="4" t="str">
        <f t="shared" ca="1" si="1"/>
        <v>EV</v>
      </c>
      <c r="F38" s="4">
        <f t="shared" ca="1" si="2"/>
        <v>2</v>
      </c>
      <c r="G38" s="8">
        <f t="shared" ca="1" si="3"/>
        <v>7845755</v>
      </c>
      <c r="H38" s="8">
        <f t="shared" ca="1" si="4"/>
        <v>15691510</v>
      </c>
      <c r="I38" s="8">
        <f t="shared" ca="1" si="5"/>
        <v>12396292.9</v>
      </c>
      <c r="J38" s="8">
        <f t="shared" ca="1" si="6"/>
        <v>3295217.0999999996</v>
      </c>
      <c r="K38" s="6">
        <f t="shared" ca="1" si="7"/>
        <v>0.20999999999999996</v>
      </c>
      <c r="L38" s="4" t="str" cm="1">
        <f t="array" aca="1" ref="L38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38" s="8">
        <f t="shared" ca="1" si="8"/>
        <v>3779</v>
      </c>
      <c r="N38" s="4" t="str" cm="1">
        <f t="array" aca="1" ref="N38" ca="1">INDEX({"New";"Repeat"}, RANDBETWEEN(1,2))</f>
        <v>Repeat</v>
      </c>
      <c r="O38" s="4" t="str" cm="1">
        <f t="array" aca="1" ref="O38" ca="1">INDEX({"Loan";"Cash";"Lease"}, RANDBETWEEN(1,3))</f>
        <v>Cash</v>
      </c>
    </row>
    <row r="39" spans="1:15" x14ac:dyDescent="0.2">
      <c r="A39" s="4">
        <v>37</v>
      </c>
      <c r="B39" s="5">
        <f t="shared" ca="1" si="0"/>
        <v>45375</v>
      </c>
      <c r="C39" s="4" t="str" cm="1">
        <f t="array" aca="1" ref="C39" ca="1">INDEX({"Cochin";"Delhi";"Mumbai";"Pune";"Bengaluru"}, RANDBETWEEN(1,5))</f>
        <v>Cochin</v>
      </c>
      <c r="D39" s="4" t="str" cm="1">
        <f t="array" aca="1" ref="D39" ca="1">INDEX({"C-Class";"E-Class";"S-Class";"GLA";"GLC";"GLE";"GLS";"EQB"}, RANDBETWEEN(1,8))</f>
        <v>GLC</v>
      </c>
      <c r="E39" s="4" t="str">
        <f t="shared" ca="1" si="1"/>
        <v>SUV</v>
      </c>
      <c r="F39" s="4">
        <f t="shared" ca="1" si="2"/>
        <v>4</v>
      </c>
      <c r="G39" s="8">
        <f t="shared" ca="1" si="3"/>
        <v>6815800</v>
      </c>
      <c r="H39" s="8">
        <f t="shared" ca="1" si="4"/>
        <v>27263200</v>
      </c>
      <c r="I39" s="8">
        <f t="shared" ca="1" si="5"/>
        <v>22083192</v>
      </c>
      <c r="J39" s="8">
        <f t="shared" ca="1" si="6"/>
        <v>5180008</v>
      </c>
      <c r="K39" s="6">
        <f t="shared" ca="1" si="7"/>
        <v>0.19</v>
      </c>
      <c r="L39" s="4" t="str" cm="1">
        <f t="array" aca="1" ref="L3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9" s="8">
        <f t="shared" ca="1" si="8"/>
        <v>19166</v>
      </c>
      <c r="N39" s="4" t="str" cm="1">
        <f t="array" aca="1" ref="N39" ca="1">INDEX({"New";"Repeat"}, RANDBETWEEN(1,2))</f>
        <v>New</v>
      </c>
      <c r="O39" s="4" t="str" cm="1">
        <f t="array" aca="1" ref="O39" ca="1">INDEX({"Loan";"Cash";"Lease"}, RANDBETWEEN(1,3))</f>
        <v>Lease</v>
      </c>
    </row>
    <row r="40" spans="1:15" x14ac:dyDescent="0.2">
      <c r="A40" s="4">
        <v>38</v>
      </c>
      <c r="B40" s="5">
        <f t="shared" ca="1" si="0"/>
        <v>44997</v>
      </c>
      <c r="C40" s="4" t="str" cm="1">
        <f t="array" aca="1" ref="C40" ca="1">INDEX({"Cochin";"Delhi";"Mumbai";"Pune";"Bengaluru"}, RANDBETWEEN(1,5))</f>
        <v>Pune</v>
      </c>
      <c r="D40" s="4" t="str" cm="1">
        <f t="array" aca="1" ref="D40" ca="1">INDEX({"C-Class";"E-Class";"S-Class";"GLA";"GLC";"GLE";"GLS";"EQB"}, RANDBETWEEN(1,8))</f>
        <v>GLE</v>
      </c>
      <c r="E40" s="4" t="str">
        <f t="shared" ca="1" si="1"/>
        <v>SUV</v>
      </c>
      <c r="F40" s="4">
        <f t="shared" ca="1" si="2"/>
        <v>5</v>
      </c>
      <c r="G40" s="8">
        <f t="shared" ca="1" si="3"/>
        <v>9398931</v>
      </c>
      <c r="H40" s="8">
        <f t="shared" ca="1" si="4"/>
        <v>46994655</v>
      </c>
      <c r="I40" s="8">
        <f t="shared" ca="1" si="5"/>
        <v>35245991.25</v>
      </c>
      <c r="J40" s="8">
        <f t="shared" ca="1" si="6"/>
        <v>11748663.75</v>
      </c>
      <c r="K40" s="6">
        <f t="shared" ca="1" si="7"/>
        <v>0.25</v>
      </c>
      <c r="L40" s="4" t="str" cm="1">
        <f t="array" aca="1" ref="L40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0" s="8">
        <f t="shared" ca="1" si="8"/>
        <v>20600</v>
      </c>
      <c r="N40" s="4" t="str" cm="1">
        <f t="array" aca="1" ref="N40" ca="1">INDEX({"New";"Repeat"}, RANDBETWEEN(1,2))</f>
        <v>New</v>
      </c>
      <c r="O40" s="4" t="str" cm="1">
        <f t="array" aca="1" ref="O40" ca="1">INDEX({"Loan";"Cash";"Lease"}, RANDBETWEEN(1,3))</f>
        <v>Lease</v>
      </c>
    </row>
    <row r="41" spans="1:15" x14ac:dyDescent="0.2">
      <c r="A41" s="4">
        <v>39</v>
      </c>
      <c r="B41" s="5">
        <f t="shared" ca="1" si="0"/>
        <v>44940</v>
      </c>
      <c r="C41" s="4" t="str" cm="1">
        <f t="array" aca="1" ref="C41" ca="1">INDEX({"Cochin";"Delhi";"Mumbai";"Pune";"Bengaluru"}, RANDBETWEEN(1,5))</f>
        <v>Delhi</v>
      </c>
      <c r="D41" s="4" t="str" cm="1">
        <f t="array" aca="1" ref="D41" ca="1">INDEX({"C-Class";"E-Class";"S-Class";"GLA";"GLC";"GLE";"GLS";"EQB"}, RANDBETWEEN(1,8))</f>
        <v>GLA</v>
      </c>
      <c r="E41" s="4" t="str">
        <f t="shared" ca="1" si="1"/>
        <v>SUV</v>
      </c>
      <c r="F41" s="4">
        <f t="shared" ca="1" si="2"/>
        <v>2</v>
      </c>
      <c r="G41" s="8">
        <f t="shared" ca="1" si="3"/>
        <v>5325584</v>
      </c>
      <c r="H41" s="8">
        <f t="shared" ca="1" si="4"/>
        <v>10651168</v>
      </c>
      <c r="I41" s="8">
        <f t="shared" ca="1" si="5"/>
        <v>7455817.5999999996</v>
      </c>
      <c r="J41" s="8">
        <f t="shared" ca="1" si="6"/>
        <v>3195350.4000000004</v>
      </c>
      <c r="K41" s="6">
        <f t="shared" ca="1" si="7"/>
        <v>0.30000000000000004</v>
      </c>
      <c r="L41" s="4" t="str" cm="1">
        <f t="array" aca="1" ref="L4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1" s="8">
        <f t="shared" ca="1" si="8"/>
        <v>16621</v>
      </c>
      <c r="N41" s="4" t="str" cm="1">
        <f t="array" aca="1" ref="N41" ca="1">INDEX({"New";"Repeat"}, RANDBETWEEN(1,2))</f>
        <v>New</v>
      </c>
      <c r="O41" s="4" t="str" cm="1">
        <f t="array" aca="1" ref="O41" ca="1">INDEX({"Loan";"Cash";"Lease"}, RANDBETWEEN(1,3))</f>
        <v>Lease</v>
      </c>
    </row>
    <row r="42" spans="1:15" x14ac:dyDescent="0.2">
      <c r="A42" s="4">
        <v>40</v>
      </c>
      <c r="B42" s="5">
        <f t="shared" ca="1" si="0"/>
        <v>45365</v>
      </c>
      <c r="C42" s="4" t="str" cm="1">
        <f t="array" aca="1" ref="C42" ca="1">INDEX({"Cochin";"Delhi";"Mumbai";"Pune";"Bengaluru"}, RANDBETWEEN(1,5))</f>
        <v>Cochin</v>
      </c>
      <c r="D42" s="4" t="str" cm="1">
        <f t="array" aca="1" ref="D42" ca="1">INDEX({"C-Class";"E-Class";"S-Class";"GLA";"GLC";"GLE";"GLS";"EQB"}, RANDBETWEEN(1,8))</f>
        <v>C-Class</v>
      </c>
      <c r="E42" s="4" t="str">
        <f t="shared" ca="1" si="1"/>
        <v>Sedan</v>
      </c>
      <c r="F42" s="4">
        <f t="shared" ca="1" si="2"/>
        <v>3</v>
      </c>
      <c r="G42" s="8">
        <f t="shared" ca="1" si="3"/>
        <v>6821821</v>
      </c>
      <c r="H42" s="8">
        <f t="shared" ca="1" si="4"/>
        <v>20465463</v>
      </c>
      <c r="I42" s="8">
        <f t="shared" ca="1" si="5"/>
        <v>14530478.73</v>
      </c>
      <c r="J42" s="8">
        <f t="shared" ca="1" si="6"/>
        <v>5934984.2699999996</v>
      </c>
      <c r="K42" s="6">
        <f t="shared" ca="1" si="7"/>
        <v>0.28999999999999998</v>
      </c>
      <c r="L42" s="4" t="str" cm="1">
        <f t="array" aca="1" ref="L4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2" s="8">
        <f t="shared" ca="1" si="8"/>
        <v>3356</v>
      </c>
      <c r="N42" s="4" t="str" cm="1">
        <f t="array" aca="1" ref="N42" ca="1">INDEX({"New";"Repeat"}, RANDBETWEEN(1,2))</f>
        <v>Repeat</v>
      </c>
      <c r="O42" s="4" t="str" cm="1">
        <f t="array" aca="1" ref="O42" ca="1">INDEX({"Loan";"Cash";"Lease"}, RANDBETWEEN(1,3))</f>
        <v>Loan</v>
      </c>
    </row>
    <row r="43" spans="1:15" x14ac:dyDescent="0.2">
      <c r="A43" s="4">
        <v>41</v>
      </c>
      <c r="B43" s="5">
        <f t="shared" ca="1" si="0"/>
        <v>45209</v>
      </c>
      <c r="C43" s="4" t="str" cm="1">
        <f t="array" aca="1" ref="C43" ca="1">INDEX({"Cochin";"Delhi";"Mumbai";"Pune";"Bengaluru"}, RANDBETWEEN(1,5))</f>
        <v>Delhi</v>
      </c>
      <c r="D43" s="4" t="str" cm="1">
        <f t="array" aca="1" ref="D43" ca="1">INDEX({"C-Class";"E-Class";"S-Class";"GLA";"GLC";"GLE";"GLS";"EQB"}, RANDBETWEEN(1,8))</f>
        <v>E-Class</v>
      </c>
      <c r="E43" s="4" t="str">
        <f t="shared" ca="1" si="1"/>
        <v>Sedan</v>
      </c>
      <c r="F43" s="4">
        <f t="shared" ca="1" si="2"/>
        <v>4</v>
      </c>
      <c r="G43" s="8">
        <f t="shared" ca="1" si="3"/>
        <v>9005389</v>
      </c>
      <c r="H43" s="8">
        <f t="shared" ca="1" si="4"/>
        <v>36021556</v>
      </c>
      <c r="I43" s="8">
        <f t="shared" ca="1" si="5"/>
        <v>25575304.760000002</v>
      </c>
      <c r="J43" s="8">
        <f t="shared" ca="1" si="6"/>
        <v>10446251.239999998</v>
      </c>
      <c r="K43" s="6">
        <f t="shared" ca="1" si="7"/>
        <v>0.28999999999999998</v>
      </c>
      <c r="L43" s="4" t="str" cm="1">
        <f t="array" aca="1" ref="L4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3" s="8">
        <f t="shared" ca="1" si="8"/>
        <v>7913</v>
      </c>
      <c r="N43" s="4" t="str" cm="1">
        <f t="array" aca="1" ref="N43" ca="1">INDEX({"New";"Repeat"}, RANDBETWEEN(1,2))</f>
        <v>Repeat</v>
      </c>
      <c r="O43" s="4" t="str" cm="1">
        <f t="array" aca="1" ref="O43" ca="1">INDEX({"Loan";"Cash";"Lease"}, RANDBETWEEN(1,3))</f>
        <v>Loan</v>
      </c>
    </row>
    <row r="44" spans="1:15" x14ac:dyDescent="0.2">
      <c r="A44" s="4">
        <v>42</v>
      </c>
      <c r="B44" s="5">
        <f t="shared" ca="1" si="0"/>
        <v>45332</v>
      </c>
      <c r="C44" s="4" t="str" cm="1">
        <f t="array" aca="1" ref="C44" ca="1">INDEX({"Cochin";"Delhi";"Mumbai";"Pune";"Bengaluru"}, RANDBETWEEN(1,5))</f>
        <v>Pune</v>
      </c>
      <c r="D44" s="4" t="str" cm="1">
        <f t="array" aca="1" ref="D44" ca="1">INDEX({"C-Class";"E-Class";"S-Class";"GLA";"GLC";"GLE";"GLS";"EQB"}, RANDBETWEEN(1,8))</f>
        <v>GLA</v>
      </c>
      <c r="E44" s="4" t="str">
        <f t="shared" ca="1" si="1"/>
        <v>SUV</v>
      </c>
      <c r="F44" s="4">
        <f t="shared" ca="1" si="2"/>
        <v>3</v>
      </c>
      <c r="G44" s="8">
        <f t="shared" ca="1" si="3"/>
        <v>4895050</v>
      </c>
      <c r="H44" s="8">
        <f t="shared" ca="1" si="4"/>
        <v>14685150</v>
      </c>
      <c r="I44" s="8">
        <f t="shared" ca="1" si="5"/>
        <v>11160714</v>
      </c>
      <c r="J44" s="8">
        <f t="shared" ca="1" si="6"/>
        <v>3524436</v>
      </c>
      <c r="K44" s="6">
        <f t="shared" ca="1" si="7"/>
        <v>0.24</v>
      </c>
      <c r="L44" s="4" t="str" cm="1">
        <f t="array" aca="1" ref="L4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4" s="8">
        <f t="shared" ca="1" si="8"/>
        <v>6699</v>
      </c>
      <c r="N44" s="4" t="str" cm="1">
        <f t="array" aca="1" ref="N44" ca="1">INDEX({"New";"Repeat"}, RANDBETWEEN(1,2))</f>
        <v>Repeat</v>
      </c>
      <c r="O44" s="4" t="str" cm="1">
        <f t="array" aca="1" ref="O44" ca="1">INDEX({"Loan";"Cash";"Lease"}, RANDBETWEEN(1,3))</f>
        <v>Loan</v>
      </c>
    </row>
    <row r="45" spans="1:15" x14ac:dyDescent="0.2">
      <c r="A45" s="4">
        <v>43</v>
      </c>
      <c r="B45" s="5">
        <f t="shared" ca="1" si="0"/>
        <v>45578</v>
      </c>
      <c r="C45" s="4" t="str" cm="1">
        <f t="array" aca="1" ref="C45" ca="1">INDEX({"Cochin";"Delhi";"Mumbai";"Pune";"Bengaluru"}, RANDBETWEEN(1,5))</f>
        <v>Bengaluru</v>
      </c>
      <c r="D45" s="4" t="str" cm="1">
        <f t="array" aca="1" ref="D45" ca="1">INDEX({"C-Class";"E-Class";"S-Class";"GLA";"GLC";"GLE";"GLS";"EQB"}, RANDBETWEEN(1,8))</f>
        <v>EQB</v>
      </c>
      <c r="E45" s="4" t="str">
        <f t="shared" ca="1" si="1"/>
        <v>EV</v>
      </c>
      <c r="F45" s="4">
        <f t="shared" ca="1" si="2"/>
        <v>2</v>
      </c>
      <c r="G45" s="8">
        <f t="shared" ca="1" si="3"/>
        <v>7265978</v>
      </c>
      <c r="H45" s="8">
        <f t="shared" ca="1" si="4"/>
        <v>14531956</v>
      </c>
      <c r="I45" s="8">
        <f t="shared" ca="1" si="5"/>
        <v>11189606.119999999</v>
      </c>
      <c r="J45" s="8">
        <f t="shared" ca="1" si="6"/>
        <v>3342349.8800000008</v>
      </c>
      <c r="K45" s="6">
        <f t="shared" ca="1" si="7"/>
        <v>0.23000000000000007</v>
      </c>
      <c r="L45" s="4" t="str" cm="1">
        <f t="array" aca="1" ref="L4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45" s="8">
        <f t="shared" ca="1" si="8"/>
        <v>4364</v>
      </c>
      <c r="N45" s="4" t="str" cm="1">
        <f t="array" aca="1" ref="N45" ca="1">INDEX({"New";"Repeat"}, RANDBETWEEN(1,2))</f>
        <v>Repeat</v>
      </c>
      <c r="O45" s="4" t="str" cm="1">
        <f t="array" aca="1" ref="O45" ca="1">INDEX({"Loan";"Cash";"Lease"}, RANDBETWEEN(1,3))</f>
        <v>Cash</v>
      </c>
    </row>
    <row r="46" spans="1:15" x14ac:dyDescent="0.2">
      <c r="A46" s="4">
        <v>44</v>
      </c>
      <c r="B46" s="5">
        <f t="shared" ca="1" si="0"/>
        <v>45330</v>
      </c>
      <c r="C46" s="4" t="str" cm="1">
        <f t="array" aca="1" ref="C46" ca="1">INDEX({"Cochin";"Delhi";"Mumbai";"Pune";"Bengaluru"}, RANDBETWEEN(1,5))</f>
        <v>Mumbai</v>
      </c>
      <c r="D46" s="4" t="str" cm="1">
        <f t="array" aca="1" ref="D46" ca="1">INDEX({"C-Class";"E-Class";"S-Class";"GLA";"GLC";"GLE";"GLS";"EQB"}, RANDBETWEEN(1,8))</f>
        <v>EQB</v>
      </c>
      <c r="E46" s="4" t="str">
        <f t="shared" ca="1" si="1"/>
        <v>EV</v>
      </c>
      <c r="F46" s="4">
        <f t="shared" ca="1" si="2"/>
        <v>3</v>
      </c>
      <c r="G46" s="8">
        <f t="shared" ca="1" si="3"/>
        <v>7048128</v>
      </c>
      <c r="H46" s="8">
        <f t="shared" ca="1" si="4"/>
        <v>21144384</v>
      </c>
      <c r="I46" s="8">
        <f t="shared" ca="1" si="5"/>
        <v>15646844.16</v>
      </c>
      <c r="J46" s="8">
        <f t="shared" ca="1" si="6"/>
        <v>5497539.8399999999</v>
      </c>
      <c r="K46" s="6">
        <f t="shared" ca="1" si="7"/>
        <v>0.26</v>
      </c>
      <c r="L46" s="4" t="str" cm="1">
        <f t="array" aca="1" ref="L4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6" s="8">
        <f t="shared" ca="1" si="8"/>
        <v>3388</v>
      </c>
      <c r="N46" s="4" t="str" cm="1">
        <f t="array" aca="1" ref="N46" ca="1">INDEX({"New";"Repeat"}, RANDBETWEEN(1,2))</f>
        <v>Repeat</v>
      </c>
      <c r="O46" s="4" t="str" cm="1">
        <f t="array" aca="1" ref="O46" ca="1">INDEX({"Loan";"Cash";"Lease"}, RANDBETWEEN(1,3))</f>
        <v>Lease</v>
      </c>
    </row>
    <row r="47" spans="1:15" x14ac:dyDescent="0.2">
      <c r="A47" s="4">
        <v>45</v>
      </c>
      <c r="B47" s="5">
        <f t="shared" ca="1" si="0"/>
        <v>45845</v>
      </c>
      <c r="C47" s="4" t="str" cm="1">
        <f t="array" aca="1" ref="C47" ca="1">INDEX({"Cochin";"Delhi";"Mumbai";"Pune";"Bengaluru"}, RANDBETWEEN(1,5))</f>
        <v>Delhi</v>
      </c>
      <c r="D47" s="4" t="str" cm="1">
        <f t="array" aca="1" ref="D47" ca="1">INDEX({"C-Class";"E-Class";"S-Class";"GLA";"GLC";"GLE";"GLS";"EQB"}, RANDBETWEEN(1,8))</f>
        <v>EQB</v>
      </c>
      <c r="E47" s="4" t="str">
        <f t="shared" ca="1" si="1"/>
        <v>EV</v>
      </c>
      <c r="F47" s="4">
        <f t="shared" ca="1" si="2"/>
        <v>1</v>
      </c>
      <c r="G47" s="8">
        <f t="shared" ca="1" si="3"/>
        <v>7477868</v>
      </c>
      <c r="H47" s="8">
        <f t="shared" ca="1" si="4"/>
        <v>7477868</v>
      </c>
      <c r="I47" s="8">
        <f t="shared" ca="1" si="5"/>
        <v>5757958.3600000003</v>
      </c>
      <c r="J47" s="8">
        <f t="shared" ca="1" si="6"/>
        <v>1719909.6399999997</v>
      </c>
      <c r="K47" s="6">
        <f t="shared" ca="1" si="7"/>
        <v>0.22999999999999995</v>
      </c>
      <c r="L47" s="4" t="str" cm="1">
        <f t="array" aca="1" ref="L4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7" s="8">
        <f t="shared" ca="1" si="8"/>
        <v>7052</v>
      </c>
      <c r="N47" s="4" t="str" cm="1">
        <f t="array" aca="1" ref="N47" ca="1">INDEX({"New";"Repeat"}, RANDBETWEEN(1,2))</f>
        <v>Repeat</v>
      </c>
      <c r="O47" s="4" t="str" cm="1">
        <f t="array" aca="1" ref="O47" ca="1">INDEX({"Loan";"Cash";"Lease"}, RANDBETWEEN(1,3))</f>
        <v>Lease</v>
      </c>
    </row>
    <row r="48" spans="1:15" x14ac:dyDescent="0.2">
      <c r="A48" s="4">
        <v>46</v>
      </c>
      <c r="B48" s="5">
        <f t="shared" ca="1" si="0"/>
        <v>45189</v>
      </c>
      <c r="C48" s="4" t="str" cm="1">
        <f t="array" aca="1" ref="C48" ca="1">INDEX({"Cochin";"Delhi";"Mumbai";"Pune";"Bengaluru"}, RANDBETWEEN(1,5))</f>
        <v>Pune</v>
      </c>
      <c r="D48" s="4" t="str" cm="1">
        <f t="array" aca="1" ref="D48" ca="1">INDEX({"C-Class";"E-Class";"S-Class";"GLA";"GLC";"GLE";"GLS";"EQB"}, RANDBETWEEN(1,8))</f>
        <v>S-Class</v>
      </c>
      <c r="E48" s="4" t="str">
        <f t="shared" ca="1" si="1"/>
        <v>Sedan</v>
      </c>
      <c r="F48" s="4">
        <f t="shared" ca="1" si="2"/>
        <v>1</v>
      </c>
      <c r="G48" s="8">
        <f t="shared" ca="1" si="3"/>
        <v>18537227</v>
      </c>
      <c r="H48" s="8">
        <f t="shared" ca="1" si="4"/>
        <v>18537227</v>
      </c>
      <c r="I48" s="8">
        <f t="shared" ca="1" si="5"/>
        <v>14273664.789999999</v>
      </c>
      <c r="J48" s="8">
        <f t="shared" ca="1" si="6"/>
        <v>4263562.2100000009</v>
      </c>
      <c r="K48" s="6">
        <f t="shared" ca="1" si="7"/>
        <v>0.23000000000000004</v>
      </c>
      <c r="L48" s="4" t="str" cm="1">
        <f t="array" aca="1" ref="L4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8" s="8">
        <f t="shared" ca="1" si="8"/>
        <v>24919</v>
      </c>
      <c r="N48" s="4" t="str" cm="1">
        <f t="array" aca="1" ref="N48" ca="1">INDEX({"New";"Repeat"}, RANDBETWEEN(1,2))</f>
        <v>New</v>
      </c>
      <c r="O48" s="4" t="str" cm="1">
        <f t="array" aca="1" ref="O48" ca="1">INDEX({"Loan";"Cash";"Lease"}, RANDBETWEEN(1,3))</f>
        <v>Cash</v>
      </c>
    </row>
    <row r="49" spans="1:15" x14ac:dyDescent="0.2">
      <c r="A49" s="4">
        <v>47</v>
      </c>
      <c r="B49" s="5">
        <f t="shared" ca="1" si="0"/>
        <v>45346</v>
      </c>
      <c r="C49" s="4" t="str" cm="1">
        <f t="array" aca="1" ref="C49" ca="1">INDEX({"Cochin";"Delhi";"Mumbai";"Pune";"Bengaluru"}, RANDBETWEEN(1,5))</f>
        <v>Mumbai</v>
      </c>
      <c r="D49" s="4" t="str" cm="1">
        <f t="array" aca="1" ref="D49" ca="1">INDEX({"C-Class";"E-Class";"S-Class";"GLA";"GLC";"GLE";"GLS";"EQB"}, RANDBETWEEN(1,8))</f>
        <v>C-Class</v>
      </c>
      <c r="E49" s="4" t="str">
        <f t="shared" ca="1" si="1"/>
        <v>Sedan</v>
      </c>
      <c r="F49" s="4">
        <f t="shared" ca="1" si="2"/>
        <v>3</v>
      </c>
      <c r="G49" s="8">
        <f t="shared" ca="1" si="3"/>
        <v>6045757</v>
      </c>
      <c r="H49" s="8">
        <f t="shared" ca="1" si="4"/>
        <v>18137271</v>
      </c>
      <c r="I49" s="8">
        <f t="shared" ca="1" si="5"/>
        <v>14691189.51</v>
      </c>
      <c r="J49" s="8">
        <f t="shared" ca="1" si="6"/>
        <v>3446081.49</v>
      </c>
      <c r="K49" s="6">
        <f t="shared" ca="1" si="7"/>
        <v>0.19</v>
      </c>
      <c r="L49" s="4" t="str" cm="1">
        <f t="array" aca="1" ref="L4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9" s="8">
        <f t="shared" ca="1" si="8"/>
        <v>4412</v>
      </c>
      <c r="N49" s="4" t="str" cm="1">
        <f t="array" aca="1" ref="N49" ca="1">INDEX({"New";"Repeat"}, RANDBETWEEN(1,2))</f>
        <v>Repeat</v>
      </c>
      <c r="O49" s="4" t="str" cm="1">
        <f t="array" aca="1" ref="O49" ca="1">INDEX({"Loan";"Cash";"Lease"}, RANDBETWEEN(1,3))</f>
        <v>Cash</v>
      </c>
    </row>
    <row r="50" spans="1:15" x14ac:dyDescent="0.2">
      <c r="A50" s="4">
        <v>48</v>
      </c>
      <c r="B50" s="5">
        <f t="shared" ca="1" si="0"/>
        <v>45461</v>
      </c>
      <c r="C50" s="4" t="str" cm="1">
        <f t="array" aca="1" ref="C50" ca="1">INDEX({"Cochin";"Delhi";"Mumbai";"Pune";"Bengaluru"}, RANDBETWEEN(1,5))</f>
        <v>Cochin</v>
      </c>
      <c r="D50" s="4" t="str" cm="1">
        <f t="array" aca="1" ref="D50" ca="1">INDEX({"C-Class";"E-Class";"S-Class";"GLA";"GLC";"GLE";"GLS";"EQB"}, RANDBETWEEN(1,8))</f>
        <v>GLA</v>
      </c>
      <c r="E50" s="4" t="str">
        <f t="shared" ca="1" si="1"/>
        <v>SUV</v>
      </c>
      <c r="F50" s="4">
        <f t="shared" ca="1" si="2"/>
        <v>4</v>
      </c>
      <c r="G50" s="8">
        <f t="shared" ca="1" si="3"/>
        <v>5307886</v>
      </c>
      <c r="H50" s="8">
        <f t="shared" ca="1" si="4"/>
        <v>21231544</v>
      </c>
      <c r="I50" s="8">
        <f t="shared" ca="1" si="5"/>
        <v>15074396.24</v>
      </c>
      <c r="J50" s="8">
        <f t="shared" ca="1" si="6"/>
        <v>6157147.7599999998</v>
      </c>
      <c r="K50" s="6">
        <f t="shared" ca="1" si="7"/>
        <v>0.28999999999999998</v>
      </c>
      <c r="L50" s="4" t="str" cm="1">
        <f t="array" aca="1" ref="L5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50" s="8">
        <f t="shared" ca="1" si="8"/>
        <v>21944</v>
      </c>
      <c r="N50" s="4" t="str" cm="1">
        <f t="array" aca="1" ref="N50" ca="1">INDEX({"New";"Repeat"}, RANDBETWEEN(1,2))</f>
        <v>New</v>
      </c>
      <c r="O50" s="4" t="str" cm="1">
        <f t="array" aca="1" ref="O50" ca="1">INDEX({"Loan";"Cash";"Lease"}, RANDBETWEEN(1,3))</f>
        <v>Loan</v>
      </c>
    </row>
    <row r="51" spans="1:15" x14ac:dyDescent="0.2">
      <c r="A51" s="4">
        <v>49</v>
      </c>
      <c r="B51" s="5">
        <f t="shared" ca="1" si="0"/>
        <v>45389</v>
      </c>
      <c r="C51" s="4" t="str" cm="1">
        <f t="array" aca="1" ref="C51" ca="1">INDEX({"Cochin";"Delhi";"Mumbai";"Pune";"Bengaluru"}, RANDBETWEEN(1,5))</f>
        <v>Pune</v>
      </c>
      <c r="D51" s="4" t="str" cm="1">
        <f t="array" aca="1" ref="D51" ca="1">INDEX({"C-Class";"E-Class";"S-Class";"GLA";"GLC";"GLE";"GLS";"EQB"}, RANDBETWEEN(1,8))</f>
        <v>C-Class</v>
      </c>
      <c r="E51" s="4" t="str">
        <f t="shared" ca="1" si="1"/>
        <v>Sedan</v>
      </c>
      <c r="F51" s="4">
        <f t="shared" ca="1" si="2"/>
        <v>4</v>
      </c>
      <c r="G51" s="8">
        <f t="shared" ca="1" si="3"/>
        <v>5537864</v>
      </c>
      <c r="H51" s="8">
        <f t="shared" ca="1" si="4"/>
        <v>22151456</v>
      </c>
      <c r="I51" s="8">
        <f t="shared" ca="1" si="5"/>
        <v>18385708.48</v>
      </c>
      <c r="J51" s="8">
        <f t="shared" ca="1" si="6"/>
        <v>3765747.5199999996</v>
      </c>
      <c r="K51" s="6">
        <f t="shared" ca="1" si="7"/>
        <v>0.16999999999999998</v>
      </c>
      <c r="L51" s="4" t="str" cm="1">
        <f t="array" aca="1" ref="L5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1" s="8">
        <f t="shared" ca="1" si="8"/>
        <v>12696</v>
      </c>
      <c r="N51" s="4" t="str" cm="1">
        <f t="array" aca="1" ref="N51" ca="1">INDEX({"New";"Repeat"}, RANDBETWEEN(1,2))</f>
        <v>New</v>
      </c>
      <c r="O51" s="4" t="str" cm="1">
        <f t="array" aca="1" ref="O51" ca="1">INDEX({"Loan";"Cash";"Lease"}, RANDBETWEEN(1,3))</f>
        <v>Cash</v>
      </c>
    </row>
    <row r="52" spans="1:15" x14ac:dyDescent="0.2">
      <c r="A52" s="4">
        <v>50</v>
      </c>
      <c r="B52" s="5">
        <f t="shared" ca="1" si="0"/>
        <v>45514</v>
      </c>
      <c r="C52" s="4" t="str" cm="1">
        <f t="array" aca="1" ref="C52" ca="1">INDEX({"Cochin";"Delhi";"Mumbai";"Pune";"Bengaluru"}, RANDBETWEEN(1,5))</f>
        <v>Delhi</v>
      </c>
      <c r="D52" s="4" t="str" cm="1">
        <f t="array" aca="1" ref="D52" ca="1">INDEX({"C-Class";"E-Class";"S-Class";"GLA";"GLC";"GLE";"GLS";"EQB"}, RANDBETWEEN(1,8))</f>
        <v>EQB</v>
      </c>
      <c r="E52" s="4" t="str">
        <f t="shared" ca="1" si="1"/>
        <v>EV</v>
      </c>
      <c r="F52" s="4">
        <f t="shared" ca="1" si="2"/>
        <v>4</v>
      </c>
      <c r="G52" s="8">
        <f t="shared" ca="1" si="3"/>
        <v>7791176</v>
      </c>
      <c r="H52" s="8">
        <f t="shared" ca="1" si="4"/>
        <v>31164704</v>
      </c>
      <c r="I52" s="8">
        <f t="shared" ca="1" si="5"/>
        <v>25555057.280000001</v>
      </c>
      <c r="J52" s="8">
        <f t="shared" ca="1" si="6"/>
        <v>5609646.7199999988</v>
      </c>
      <c r="K52" s="6">
        <f t="shared" ca="1" si="7"/>
        <v>0.17999999999999997</v>
      </c>
      <c r="L52" s="4" t="str" cm="1">
        <f t="array" aca="1" ref="L5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2" s="8">
        <f t="shared" ca="1" si="8"/>
        <v>16956</v>
      </c>
      <c r="N52" s="4" t="str" cm="1">
        <f t="array" aca="1" ref="N52" ca="1">INDEX({"New";"Repeat"}, RANDBETWEEN(1,2))</f>
        <v>New</v>
      </c>
      <c r="O52" s="4" t="str" cm="1">
        <f t="array" aca="1" ref="O52" ca="1">INDEX({"Loan";"Cash";"Lease"}, RANDBETWEEN(1,3))</f>
        <v>Loan</v>
      </c>
    </row>
    <row r="53" spans="1:15" x14ac:dyDescent="0.2">
      <c r="A53" s="4">
        <v>51</v>
      </c>
      <c r="B53" s="5">
        <f t="shared" ca="1" si="0"/>
        <v>44966</v>
      </c>
      <c r="C53" s="4" t="str" cm="1">
        <f t="array" aca="1" ref="C53" ca="1">INDEX({"Cochin";"Delhi";"Mumbai";"Pune";"Bengaluru"}, RANDBETWEEN(1,5))</f>
        <v>Pune</v>
      </c>
      <c r="D53" s="4" t="str" cm="1">
        <f t="array" aca="1" ref="D53" ca="1">INDEX({"C-Class";"E-Class";"S-Class";"GLA";"GLC";"GLE";"GLS";"EQB"}, RANDBETWEEN(1,8))</f>
        <v>C-Class</v>
      </c>
      <c r="E53" s="4" t="str">
        <f t="shared" ca="1" si="1"/>
        <v>Sedan</v>
      </c>
      <c r="F53" s="4">
        <f t="shared" ca="1" si="2"/>
        <v>5</v>
      </c>
      <c r="G53" s="8">
        <f t="shared" ca="1" si="3"/>
        <v>6992526</v>
      </c>
      <c r="H53" s="8">
        <f t="shared" ca="1" si="4"/>
        <v>34962630</v>
      </c>
      <c r="I53" s="8">
        <f t="shared" ca="1" si="5"/>
        <v>25522719.899999999</v>
      </c>
      <c r="J53" s="8">
        <f t="shared" ca="1" si="6"/>
        <v>9439910.1000000015</v>
      </c>
      <c r="K53" s="6">
        <f t="shared" ca="1" si="7"/>
        <v>0.27</v>
      </c>
      <c r="L53" s="4" t="str" cm="1">
        <f t="array" aca="1" ref="L5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3" s="8">
        <f t="shared" ca="1" si="8"/>
        <v>11481</v>
      </c>
      <c r="N53" s="4" t="str" cm="1">
        <f t="array" aca="1" ref="N53" ca="1">INDEX({"New";"Repeat"}, RANDBETWEEN(1,2))</f>
        <v>New</v>
      </c>
      <c r="O53" s="4" t="str" cm="1">
        <f t="array" aca="1" ref="O53" ca="1">INDEX({"Loan";"Cash";"Lease"}, RANDBETWEEN(1,3))</f>
        <v>Cash</v>
      </c>
    </row>
    <row r="54" spans="1:15" x14ac:dyDescent="0.2">
      <c r="A54" s="4">
        <v>52</v>
      </c>
      <c r="B54" s="5">
        <f t="shared" ca="1" si="0"/>
        <v>44946</v>
      </c>
      <c r="C54" s="4" t="str" cm="1">
        <f t="array" aca="1" ref="C54" ca="1">INDEX({"Cochin";"Delhi";"Mumbai";"Pune";"Bengaluru"}, RANDBETWEEN(1,5))</f>
        <v>Cochin</v>
      </c>
      <c r="D54" s="4" t="str" cm="1">
        <f t="array" aca="1" ref="D54" ca="1">INDEX({"C-Class";"E-Class";"S-Class";"GLA";"GLC";"GLE";"GLS";"EQB"}, RANDBETWEEN(1,8))</f>
        <v>GLE</v>
      </c>
      <c r="E54" s="4" t="str">
        <f t="shared" ca="1" si="1"/>
        <v>SUV</v>
      </c>
      <c r="F54" s="4">
        <f t="shared" ca="1" si="2"/>
        <v>2</v>
      </c>
      <c r="G54" s="8">
        <f t="shared" ca="1" si="3"/>
        <v>11789803</v>
      </c>
      <c r="H54" s="8">
        <f t="shared" ca="1" si="4"/>
        <v>23579606</v>
      </c>
      <c r="I54" s="8">
        <f t="shared" ca="1" si="5"/>
        <v>16741520.26</v>
      </c>
      <c r="J54" s="8">
        <f t="shared" ca="1" si="6"/>
        <v>6838085.7400000002</v>
      </c>
      <c r="K54" s="6">
        <f t="shared" ca="1" si="7"/>
        <v>0.29000000000000004</v>
      </c>
      <c r="L54" s="4" t="str" cm="1">
        <f t="array" aca="1" ref="L5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4" s="8">
        <f t="shared" ca="1" si="8"/>
        <v>7011</v>
      </c>
      <c r="N54" s="4" t="str" cm="1">
        <f t="array" aca="1" ref="N54" ca="1">INDEX({"New";"Repeat"}, RANDBETWEEN(1,2))</f>
        <v>Repeat</v>
      </c>
      <c r="O54" s="4" t="str" cm="1">
        <f t="array" aca="1" ref="O54" ca="1">INDEX({"Loan";"Cash";"Lease"}, RANDBETWEEN(1,3))</f>
        <v>Lease</v>
      </c>
    </row>
    <row r="55" spans="1:15" x14ac:dyDescent="0.2">
      <c r="A55" s="4">
        <v>53</v>
      </c>
      <c r="B55" s="5">
        <f t="shared" ca="1" si="0"/>
        <v>45440</v>
      </c>
      <c r="C55" s="4" t="str" cm="1">
        <f t="array" aca="1" ref="C55" ca="1">INDEX({"Cochin";"Delhi";"Mumbai";"Pune";"Bengaluru"}, RANDBETWEEN(1,5))</f>
        <v>Delhi</v>
      </c>
      <c r="D55" s="4" t="str" cm="1">
        <f t="array" aca="1" ref="D55" ca="1">INDEX({"C-Class";"E-Class";"S-Class";"GLA";"GLC";"GLE";"GLS";"EQB"}, RANDBETWEEN(1,8))</f>
        <v>GLC</v>
      </c>
      <c r="E55" s="4" t="str">
        <f t="shared" ca="1" si="1"/>
        <v>SUV</v>
      </c>
      <c r="F55" s="4">
        <f t="shared" ca="1" si="2"/>
        <v>1</v>
      </c>
      <c r="G55" s="8">
        <f t="shared" ca="1" si="3"/>
        <v>6866952</v>
      </c>
      <c r="H55" s="8">
        <f t="shared" ca="1" si="4"/>
        <v>6866952</v>
      </c>
      <c r="I55" s="8">
        <f t="shared" ca="1" si="5"/>
        <v>5081544.4800000004</v>
      </c>
      <c r="J55" s="8">
        <f t="shared" ca="1" si="6"/>
        <v>1785407.5199999996</v>
      </c>
      <c r="K55" s="6">
        <f t="shared" ca="1" si="7"/>
        <v>0.25999999999999995</v>
      </c>
      <c r="L55" s="4" t="str" cm="1">
        <f t="array" aca="1" ref="L55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5" s="8">
        <f t="shared" ca="1" si="8"/>
        <v>22443</v>
      </c>
      <c r="N55" s="4" t="str" cm="1">
        <f t="array" aca="1" ref="N55" ca="1">INDEX({"New";"Repeat"}, RANDBETWEEN(1,2))</f>
        <v>New</v>
      </c>
      <c r="O55" s="4" t="str" cm="1">
        <f t="array" aca="1" ref="O55" ca="1">INDEX({"Loan";"Cash";"Lease"}, RANDBETWEEN(1,3))</f>
        <v>Cash</v>
      </c>
    </row>
    <row r="56" spans="1:15" x14ac:dyDescent="0.2">
      <c r="A56" s="4">
        <v>54</v>
      </c>
      <c r="B56" s="5">
        <f t="shared" ca="1" si="0"/>
        <v>45643</v>
      </c>
      <c r="C56" s="4" t="str" cm="1">
        <f t="array" aca="1" ref="C56" ca="1">INDEX({"Cochin";"Delhi";"Mumbai";"Pune";"Bengaluru"}, RANDBETWEEN(1,5))</f>
        <v>Mumbai</v>
      </c>
      <c r="D56" s="4" t="str" cm="1">
        <f t="array" aca="1" ref="D56" ca="1">INDEX({"C-Class";"E-Class";"S-Class";"GLA";"GLC";"GLE";"GLS";"EQB"}, RANDBETWEEN(1,8))</f>
        <v>S-Class</v>
      </c>
      <c r="E56" s="4" t="str">
        <f t="shared" ca="1" si="1"/>
        <v>Sedan</v>
      </c>
      <c r="F56" s="4">
        <f t="shared" ca="1" si="2"/>
        <v>3</v>
      </c>
      <c r="G56" s="8">
        <f t="shared" ca="1" si="3"/>
        <v>22494500</v>
      </c>
      <c r="H56" s="8">
        <f t="shared" ca="1" si="4"/>
        <v>67483500</v>
      </c>
      <c r="I56" s="8">
        <f t="shared" ca="1" si="5"/>
        <v>57360975</v>
      </c>
      <c r="J56" s="8">
        <f t="shared" ca="1" si="6"/>
        <v>10122525</v>
      </c>
      <c r="K56" s="6">
        <f t="shared" ca="1" si="7"/>
        <v>0.15</v>
      </c>
      <c r="L56" s="4" t="str" cm="1">
        <f t="array" aca="1" ref="L5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6" s="8">
        <f t="shared" ca="1" si="8"/>
        <v>3396</v>
      </c>
      <c r="N56" s="4" t="str" cm="1">
        <f t="array" aca="1" ref="N56" ca="1">INDEX({"New";"Repeat"}, RANDBETWEEN(1,2))</f>
        <v>Repeat</v>
      </c>
      <c r="O56" s="4" t="str" cm="1">
        <f t="array" aca="1" ref="O56" ca="1">INDEX({"Loan";"Cash";"Lease"}, RANDBETWEEN(1,3))</f>
        <v>Cash</v>
      </c>
    </row>
    <row r="57" spans="1:15" x14ac:dyDescent="0.2">
      <c r="A57" s="4">
        <v>55</v>
      </c>
      <c r="B57" s="5">
        <f t="shared" ca="1" si="0"/>
        <v>45142</v>
      </c>
      <c r="C57" s="4" t="str" cm="1">
        <f t="array" aca="1" ref="C57" ca="1">INDEX({"Cochin";"Delhi";"Mumbai";"Pune";"Bengaluru"}, RANDBETWEEN(1,5))</f>
        <v>Mumbai</v>
      </c>
      <c r="D57" s="4" t="str" cm="1">
        <f t="array" aca="1" ref="D57" ca="1">INDEX({"C-Class";"E-Class";"S-Class";"GLA";"GLC";"GLE";"GLS";"EQB"}, RANDBETWEEN(1,8))</f>
        <v>GLA</v>
      </c>
      <c r="E57" s="4" t="str">
        <f t="shared" ca="1" si="1"/>
        <v>SUV</v>
      </c>
      <c r="F57" s="4">
        <f t="shared" ca="1" si="2"/>
        <v>1</v>
      </c>
      <c r="G57" s="8">
        <f t="shared" ca="1" si="3"/>
        <v>4700259</v>
      </c>
      <c r="H57" s="8">
        <f t="shared" ca="1" si="4"/>
        <v>4700259</v>
      </c>
      <c r="I57" s="8">
        <f t="shared" ca="1" si="5"/>
        <v>3619199.43</v>
      </c>
      <c r="J57" s="8">
        <f t="shared" ca="1" si="6"/>
        <v>1081059.5699999998</v>
      </c>
      <c r="K57" s="6">
        <f t="shared" ca="1" si="7"/>
        <v>0.22999999999999995</v>
      </c>
      <c r="L57" s="4" t="str" cm="1">
        <f t="array" aca="1" ref="L5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7" s="8">
        <f t="shared" ca="1" si="8"/>
        <v>3433</v>
      </c>
      <c r="N57" s="4" t="str" cm="1">
        <f t="array" aca="1" ref="N57" ca="1">INDEX({"New";"Repeat"}, RANDBETWEEN(1,2))</f>
        <v>Repeat</v>
      </c>
      <c r="O57" s="4" t="str" cm="1">
        <f t="array" aca="1" ref="O57" ca="1">INDEX({"Loan";"Cash";"Lease"}, RANDBETWEEN(1,3))</f>
        <v>Lease</v>
      </c>
    </row>
    <row r="58" spans="1:15" x14ac:dyDescent="0.2">
      <c r="A58" s="4">
        <v>56</v>
      </c>
      <c r="B58" s="5">
        <f t="shared" ca="1" si="0"/>
        <v>45606</v>
      </c>
      <c r="C58" s="4" t="str" cm="1">
        <f t="array" aca="1" ref="C58" ca="1">INDEX({"Cochin";"Delhi";"Mumbai";"Pune";"Bengaluru"}, RANDBETWEEN(1,5))</f>
        <v>Delhi</v>
      </c>
      <c r="D58" s="4" t="str" cm="1">
        <f t="array" aca="1" ref="D58" ca="1">INDEX({"C-Class";"E-Class";"S-Class";"GLA";"GLC";"GLE";"GLS";"EQB"}, RANDBETWEEN(1,8))</f>
        <v>EQB</v>
      </c>
      <c r="E58" s="4" t="str">
        <f t="shared" ca="1" si="1"/>
        <v>EV</v>
      </c>
      <c r="F58" s="4">
        <f t="shared" ca="1" si="2"/>
        <v>4</v>
      </c>
      <c r="G58" s="8">
        <f t="shared" ca="1" si="3"/>
        <v>7889047</v>
      </c>
      <c r="H58" s="8">
        <f t="shared" ca="1" si="4"/>
        <v>31556188</v>
      </c>
      <c r="I58" s="8">
        <f t="shared" ca="1" si="5"/>
        <v>26507197.920000002</v>
      </c>
      <c r="J58" s="8">
        <f t="shared" ca="1" si="6"/>
        <v>5048990.0799999982</v>
      </c>
      <c r="K58" s="6">
        <f t="shared" ca="1" si="7"/>
        <v>0.15999999999999995</v>
      </c>
      <c r="L58" s="4" t="str" cm="1">
        <f t="array" aca="1" ref="L5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8" s="8">
        <f t="shared" ca="1" si="8"/>
        <v>20429</v>
      </c>
      <c r="N58" s="4" t="str" cm="1">
        <f t="array" aca="1" ref="N58" ca="1">INDEX({"New";"Repeat"}, RANDBETWEEN(1,2))</f>
        <v>New</v>
      </c>
      <c r="O58" s="4" t="str" cm="1">
        <f t="array" aca="1" ref="O58" ca="1">INDEX({"Loan";"Cash";"Lease"}, RANDBETWEEN(1,3))</f>
        <v>Lease</v>
      </c>
    </row>
    <row r="59" spans="1:15" x14ac:dyDescent="0.2">
      <c r="A59" s="4">
        <v>57</v>
      </c>
      <c r="B59" s="5">
        <f t="shared" ca="1" si="0"/>
        <v>45117</v>
      </c>
      <c r="C59" s="4" t="str" cm="1">
        <f t="array" aca="1" ref="C59" ca="1">INDEX({"Cochin";"Delhi";"Mumbai";"Pune";"Bengaluru"}, RANDBETWEEN(1,5))</f>
        <v>Bengaluru</v>
      </c>
      <c r="D59" s="4" t="str" cm="1">
        <f t="array" aca="1" ref="D59" ca="1">INDEX({"C-Class";"E-Class";"S-Class";"GLA";"GLC";"GLE";"GLS";"EQB"}, RANDBETWEEN(1,8))</f>
        <v>GLS</v>
      </c>
      <c r="E59" s="4" t="str">
        <f t="shared" ca="1" si="1"/>
        <v>SUV</v>
      </c>
      <c r="F59" s="4">
        <f t="shared" ca="1" si="2"/>
        <v>4</v>
      </c>
      <c r="G59" s="8">
        <f t="shared" ca="1" si="3"/>
        <v>17131728</v>
      </c>
      <c r="H59" s="8">
        <f t="shared" ca="1" si="4"/>
        <v>68526912</v>
      </c>
      <c r="I59" s="8">
        <f t="shared" ca="1" si="5"/>
        <v>58247875.200000003</v>
      </c>
      <c r="J59" s="8">
        <f t="shared" ca="1" si="6"/>
        <v>10279036.799999997</v>
      </c>
      <c r="K59" s="6">
        <f t="shared" ca="1" si="7"/>
        <v>0.14999999999999997</v>
      </c>
      <c r="L59" s="4" t="str" cm="1">
        <f t="array" aca="1" ref="L5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59" s="8">
        <f t="shared" ca="1" si="8"/>
        <v>17540</v>
      </c>
      <c r="N59" s="4" t="str" cm="1">
        <f t="array" aca="1" ref="N59" ca="1">INDEX({"New";"Repeat"}, RANDBETWEEN(1,2))</f>
        <v>New</v>
      </c>
      <c r="O59" s="4" t="str" cm="1">
        <f t="array" aca="1" ref="O59" ca="1">INDEX({"Loan";"Cash";"Lease"}, RANDBETWEEN(1,3))</f>
        <v>Lease</v>
      </c>
    </row>
    <row r="60" spans="1:15" x14ac:dyDescent="0.2">
      <c r="A60" s="4">
        <v>58</v>
      </c>
      <c r="B60" s="5">
        <f t="shared" ca="1" si="0"/>
        <v>45363</v>
      </c>
      <c r="C60" s="4" t="str" cm="1">
        <f t="array" aca="1" ref="C60" ca="1">INDEX({"Cochin";"Delhi";"Mumbai";"Pune";"Bengaluru"}, RANDBETWEEN(1,5))</f>
        <v>Delhi</v>
      </c>
      <c r="D60" s="4" t="str" cm="1">
        <f t="array" aca="1" ref="D60" ca="1">INDEX({"C-Class";"E-Class";"S-Class";"GLA";"GLC";"GLE";"GLS";"EQB"}, RANDBETWEEN(1,8))</f>
        <v>GLA</v>
      </c>
      <c r="E60" s="4" t="str">
        <f t="shared" ca="1" si="1"/>
        <v>SUV</v>
      </c>
      <c r="F60" s="4">
        <f t="shared" ca="1" si="2"/>
        <v>1</v>
      </c>
      <c r="G60" s="8">
        <f t="shared" ca="1" si="3"/>
        <v>5444635</v>
      </c>
      <c r="H60" s="8">
        <f t="shared" ca="1" si="4"/>
        <v>5444635</v>
      </c>
      <c r="I60" s="8">
        <f t="shared" ca="1" si="5"/>
        <v>3920137.2</v>
      </c>
      <c r="J60" s="8">
        <f t="shared" ca="1" si="6"/>
        <v>1524497.7999999998</v>
      </c>
      <c r="K60" s="6">
        <f t="shared" ca="1" si="7"/>
        <v>0.27999999999999997</v>
      </c>
      <c r="L60" s="4" t="str" cm="1">
        <f t="array" aca="1" ref="L6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0" s="8">
        <f t="shared" ca="1" si="8"/>
        <v>18046</v>
      </c>
      <c r="N60" s="4" t="str" cm="1">
        <f t="array" aca="1" ref="N60" ca="1">INDEX({"New";"Repeat"}, RANDBETWEEN(1,2))</f>
        <v>New</v>
      </c>
      <c r="O60" s="4" t="str" cm="1">
        <f t="array" aca="1" ref="O60" ca="1">INDEX({"Loan";"Cash";"Lease"}, RANDBETWEEN(1,3))</f>
        <v>Lease</v>
      </c>
    </row>
    <row r="61" spans="1:15" x14ac:dyDescent="0.2">
      <c r="A61" s="4">
        <v>59</v>
      </c>
      <c r="B61" s="5">
        <f t="shared" ca="1" si="0"/>
        <v>45162</v>
      </c>
      <c r="C61" s="4" t="str" cm="1">
        <f t="array" aca="1" ref="C61" ca="1">INDEX({"Cochin";"Delhi";"Mumbai";"Pune";"Bengaluru"}, RANDBETWEEN(1,5))</f>
        <v>Cochin</v>
      </c>
      <c r="D61" s="4" t="str" cm="1">
        <f t="array" aca="1" ref="D61" ca="1">INDEX({"C-Class";"E-Class";"S-Class";"GLA";"GLC";"GLE";"GLS";"EQB"}, RANDBETWEEN(1,8))</f>
        <v>C-Class</v>
      </c>
      <c r="E61" s="4" t="str">
        <f t="shared" ca="1" si="1"/>
        <v>Sedan</v>
      </c>
      <c r="F61" s="4">
        <f t="shared" ca="1" si="2"/>
        <v>3</v>
      </c>
      <c r="G61" s="8">
        <f t="shared" ca="1" si="3"/>
        <v>5998254</v>
      </c>
      <c r="H61" s="8">
        <f t="shared" ca="1" si="4"/>
        <v>17994762</v>
      </c>
      <c r="I61" s="8">
        <f t="shared" ca="1" si="5"/>
        <v>14395809.6</v>
      </c>
      <c r="J61" s="8">
        <f t="shared" ca="1" si="6"/>
        <v>3598952.4000000004</v>
      </c>
      <c r="K61" s="6">
        <f t="shared" ca="1" si="7"/>
        <v>0.2</v>
      </c>
      <c r="L61" s="4" t="str" cm="1">
        <f t="array" aca="1" ref="L6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61" s="8">
        <f t="shared" ca="1" si="8"/>
        <v>22443</v>
      </c>
      <c r="N61" s="4" t="str" cm="1">
        <f t="array" aca="1" ref="N61" ca="1">INDEX({"New";"Repeat"}, RANDBETWEEN(1,2))</f>
        <v>New</v>
      </c>
      <c r="O61" s="4" t="str" cm="1">
        <f t="array" aca="1" ref="O61" ca="1">INDEX({"Loan";"Cash";"Lease"}, RANDBETWEEN(1,3))</f>
        <v>Lease</v>
      </c>
    </row>
    <row r="62" spans="1:15" x14ac:dyDescent="0.2">
      <c r="A62" s="4">
        <v>60</v>
      </c>
      <c r="B62" s="5">
        <f t="shared" ca="1" si="0"/>
        <v>45481</v>
      </c>
      <c r="C62" s="4" t="str" cm="1">
        <f t="array" aca="1" ref="C62" ca="1">INDEX({"Cochin";"Delhi";"Mumbai";"Pune";"Bengaluru"}, RANDBETWEEN(1,5))</f>
        <v>Bengaluru</v>
      </c>
      <c r="D62" s="4" t="str" cm="1">
        <f t="array" aca="1" ref="D62" ca="1">INDEX({"C-Class";"E-Class";"S-Class";"GLA";"GLC";"GLE";"GLS";"EQB"}, RANDBETWEEN(1,8))</f>
        <v>C-Class</v>
      </c>
      <c r="E62" s="4" t="str">
        <f t="shared" ca="1" si="1"/>
        <v>Sedan</v>
      </c>
      <c r="F62" s="4">
        <f t="shared" ca="1" si="2"/>
        <v>5</v>
      </c>
      <c r="G62" s="8">
        <f t="shared" ca="1" si="3"/>
        <v>6265090</v>
      </c>
      <c r="H62" s="8">
        <f t="shared" ca="1" si="4"/>
        <v>31325450</v>
      </c>
      <c r="I62" s="8">
        <f t="shared" ca="1" si="5"/>
        <v>22867578.5</v>
      </c>
      <c r="J62" s="8">
        <f t="shared" ca="1" si="6"/>
        <v>8457871.5</v>
      </c>
      <c r="K62" s="6">
        <f t="shared" ca="1" si="7"/>
        <v>0.27</v>
      </c>
      <c r="L62" s="4" t="str" cm="1">
        <f t="array" aca="1" ref="L6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2" s="8">
        <f t="shared" ca="1" si="8"/>
        <v>17819</v>
      </c>
      <c r="N62" s="4" t="str" cm="1">
        <f t="array" aca="1" ref="N62" ca="1">INDEX({"New";"Repeat"}, RANDBETWEEN(1,2))</f>
        <v>New</v>
      </c>
      <c r="O62" s="4" t="str" cm="1">
        <f t="array" aca="1" ref="O62" ca="1">INDEX({"Loan";"Cash";"Lease"}, RANDBETWEEN(1,3))</f>
        <v>Lease</v>
      </c>
    </row>
    <row r="63" spans="1:15" x14ac:dyDescent="0.2">
      <c r="A63" s="4">
        <v>61</v>
      </c>
      <c r="B63" s="5">
        <f t="shared" ca="1" si="0"/>
        <v>45441</v>
      </c>
      <c r="C63" s="4" t="str" cm="1">
        <f t="array" aca="1" ref="C63" ca="1">INDEX({"Cochin";"Delhi";"Mumbai";"Pune";"Bengaluru"}, RANDBETWEEN(1,5))</f>
        <v>Mumbai</v>
      </c>
      <c r="D63" s="4" t="str" cm="1">
        <f t="array" aca="1" ref="D63" ca="1">INDEX({"C-Class";"E-Class";"S-Class";"GLA";"GLC";"GLE";"GLS";"EQB"}, RANDBETWEEN(1,8))</f>
        <v>GLS</v>
      </c>
      <c r="E63" s="4" t="str">
        <f t="shared" ca="1" si="1"/>
        <v>SUV</v>
      </c>
      <c r="F63" s="4">
        <f t="shared" ca="1" si="2"/>
        <v>4</v>
      </c>
      <c r="G63" s="8">
        <f t="shared" ca="1" si="3"/>
        <v>16601896</v>
      </c>
      <c r="H63" s="8">
        <f t="shared" ca="1" si="4"/>
        <v>66407584</v>
      </c>
      <c r="I63" s="8">
        <f t="shared" ca="1" si="5"/>
        <v>51797915.520000003</v>
      </c>
      <c r="J63" s="8">
        <f t="shared" ca="1" si="6"/>
        <v>14609668.479999997</v>
      </c>
      <c r="K63" s="6">
        <f t="shared" ca="1" si="7"/>
        <v>0.21999999999999995</v>
      </c>
      <c r="L63" s="4" t="str" cm="1">
        <f t="array" aca="1" ref="L63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63" s="8">
        <f t="shared" ca="1" si="8"/>
        <v>16254</v>
      </c>
      <c r="N63" s="4" t="str" cm="1">
        <f t="array" aca="1" ref="N63" ca="1">INDEX({"New";"Repeat"}, RANDBETWEEN(1,2))</f>
        <v>New</v>
      </c>
      <c r="O63" s="4" t="str" cm="1">
        <f t="array" aca="1" ref="O63" ca="1">INDEX({"Loan";"Cash";"Lease"}, RANDBETWEEN(1,3))</f>
        <v>Cash</v>
      </c>
    </row>
    <row r="64" spans="1:15" x14ac:dyDescent="0.2">
      <c r="A64" s="4">
        <v>62</v>
      </c>
      <c r="B64" s="5">
        <f t="shared" ca="1" si="0"/>
        <v>45752</v>
      </c>
      <c r="C64" s="4" t="str" cm="1">
        <f t="array" aca="1" ref="C64" ca="1">INDEX({"Cochin";"Delhi";"Mumbai";"Pune";"Bengaluru"}, RANDBETWEEN(1,5))</f>
        <v>Cochin</v>
      </c>
      <c r="D64" s="4" t="str" cm="1">
        <f t="array" aca="1" ref="D64" ca="1">INDEX({"C-Class";"E-Class";"S-Class";"GLA";"GLC";"GLE";"GLS";"EQB"}, RANDBETWEEN(1,8))</f>
        <v>GLA</v>
      </c>
      <c r="E64" s="4" t="str">
        <f t="shared" ca="1" si="1"/>
        <v>SUV</v>
      </c>
      <c r="F64" s="4">
        <f t="shared" ca="1" si="2"/>
        <v>4</v>
      </c>
      <c r="G64" s="8">
        <f t="shared" ca="1" si="3"/>
        <v>5057774</v>
      </c>
      <c r="H64" s="8">
        <f t="shared" ca="1" si="4"/>
        <v>20231096</v>
      </c>
      <c r="I64" s="8">
        <f t="shared" ca="1" si="5"/>
        <v>14971011.039999999</v>
      </c>
      <c r="J64" s="8">
        <f t="shared" ca="1" si="6"/>
        <v>5260084.9600000009</v>
      </c>
      <c r="K64" s="6">
        <f t="shared" ca="1" si="7"/>
        <v>0.26000000000000006</v>
      </c>
      <c r="L64" s="4" t="str" cm="1">
        <f t="array" aca="1" ref="L6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64" s="8">
        <f t="shared" ca="1" si="8"/>
        <v>16795</v>
      </c>
      <c r="N64" s="4" t="str" cm="1">
        <f t="array" aca="1" ref="N64" ca="1">INDEX({"New";"Repeat"}, RANDBETWEEN(1,2))</f>
        <v>New</v>
      </c>
      <c r="O64" s="4" t="str" cm="1">
        <f t="array" aca="1" ref="O64" ca="1">INDEX({"Loan";"Cash";"Lease"}, RANDBETWEEN(1,3))</f>
        <v>Cash</v>
      </c>
    </row>
    <row r="65" spans="1:15" x14ac:dyDescent="0.2">
      <c r="A65" s="4">
        <v>63</v>
      </c>
      <c r="B65" s="5">
        <f t="shared" ca="1" si="0"/>
        <v>45535</v>
      </c>
      <c r="C65" s="4" t="str" cm="1">
        <f t="array" aca="1" ref="C65" ca="1">INDEX({"Cochin";"Delhi";"Mumbai";"Pune";"Bengaluru"}, RANDBETWEEN(1,5))</f>
        <v>Bengaluru</v>
      </c>
      <c r="D65" s="4" t="str" cm="1">
        <f t="array" aca="1" ref="D65" ca="1">INDEX({"C-Class";"E-Class";"S-Class";"GLA";"GLC";"GLE";"GLS";"EQB"}, RANDBETWEEN(1,8))</f>
        <v>S-Class</v>
      </c>
      <c r="E65" s="4" t="str">
        <f t="shared" ca="1" si="1"/>
        <v>Sedan</v>
      </c>
      <c r="F65" s="4">
        <f t="shared" ca="1" si="2"/>
        <v>1</v>
      </c>
      <c r="G65" s="8">
        <f t="shared" ca="1" si="3"/>
        <v>21088593</v>
      </c>
      <c r="H65" s="8">
        <f t="shared" ca="1" si="4"/>
        <v>21088593</v>
      </c>
      <c r="I65" s="8">
        <f t="shared" ca="1" si="5"/>
        <v>14972901.029999999</v>
      </c>
      <c r="J65" s="8">
        <f t="shared" ca="1" si="6"/>
        <v>6115691.9700000007</v>
      </c>
      <c r="K65" s="6">
        <f t="shared" ca="1" si="7"/>
        <v>0.29000000000000004</v>
      </c>
      <c r="L65" s="4" t="str" cm="1">
        <f t="array" aca="1" ref="L65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65" s="8">
        <f t="shared" ca="1" si="8"/>
        <v>15501</v>
      </c>
      <c r="N65" s="4" t="str" cm="1">
        <f t="array" aca="1" ref="N65" ca="1">INDEX({"New";"Repeat"}, RANDBETWEEN(1,2))</f>
        <v>New</v>
      </c>
      <c r="O65" s="4" t="str" cm="1">
        <f t="array" aca="1" ref="O65" ca="1">INDEX({"Loan";"Cash";"Lease"}, RANDBETWEEN(1,3))</f>
        <v>Cash</v>
      </c>
    </row>
    <row r="66" spans="1:15" x14ac:dyDescent="0.2">
      <c r="A66" s="4">
        <v>64</v>
      </c>
      <c r="B66" s="5">
        <f t="shared" ca="1" si="0"/>
        <v>45415</v>
      </c>
      <c r="C66" s="4" t="str" cm="1">
        <f t="array" aca="1" ref="C66" ca="1">INDEX({"Cochin";"Delhi";"Mumbai";"Pune";"Bengaluru"}, RANDBETWEEN(1,5))</f>
        <v>Pune</v>
      </c>
      <c r="D66" s="4" t="str" cm="1">
        <f t="array" aca="1" ref="D66" ca="1">INDEX({"C-Class";"E-Class";"S-Class";"GLA";"GLC";"GLE";"GLS";"EQB"}, RANDBETWEEN(1,8))</f>
        <v>S-Class</v>
      </c>
      <c r="E66" s="4" t="str">
        <f t="shared" ca="1" si="1"/>
        <v>Sedan</v>
      </c>
      <c r="F66" s="4">
        <f t="shared" ca="1" si="2"/>
        <v>2</v>
      </c>
      <c r="G66" s="8">
        <f t="shared" ca="1" si="3"/>
        <v>17792502</v>
      </c>
      <c r="H66" s="8">
        <f t="shared" ca="1" si="4"/>
        <v>35585004</v>
      </c>
      <c r="I66" s="8">
        <f t="shared" ca="1" si="5"/>
        <v>29179703.280000001</v>
      </c>
      <c r="J66" s="8">
        <f t="shared" ca="1" si="6"/>
        <v>6405300.7199999988</v>
      </c>
      <c r="K66" s="6">
        <f t="shared" ca="1" si="7"/>
        <v>0.17999999999999997</v>
      </c>
      <c r="L66" s="4" t="str" cm="1">
        <f t="array" aca="1" ref="L6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6" s="8">
        <f t="shared" ca="1" si="8"/>
        <v>10273</v>
      </c>
      <c r="N66" s="4" t="str" cm="1">
        <f t="array" aca="1" ref="N66" ca="1">INDEX({"New";"Repeat"}, RANDBETWEEN(1,2))</f>
        <v>New</v>
      </c>
      <c r="O66" s="4" t="str" cm="1">
        <f t="array" aca="1" ref="O66" ca="1">INDEX({"Loan";"Cash";"Lease"}, RANDBETWEEN(1,3))</f>
        <v>Loan</v>
      </c>
    </row>
    <row r="67" spans="1:15" x14ac:dyDescent="0.2">
      <c r="A67" s="4">
        <v>65</v>
      </c>
      <c r="B67" s="5">
        <f t="shared" ca="1" si="0"/>
        <v>45219</v>
      </c>
      <c r="C67" s="4" t="str" cm="1">
        <f t="array" aca="1" ref="C67" ca="1">INDEX({"Cochin";"Delhi";"Mumbai";"Pune";"Bengaluru"}, RANDBETWEEN(1,5))</f>
        <v>Delhi</v>
      </c>
      <c r="D67" s="4" t="str" cm="1">
        <f t="array" aca="1" ref="D67" ca="1">INDEX({"C-Class";"E-Class";"S-Class";"GLA";"GLC";"GLE";"GLS";"EQB"}, RANDBETWEEN(1,8))</f>
        <v>E-Class</v>
      </c>
      <c r="E67" s="4" t="str">
        <f t="shared" ca="1" si="1"/>
        <v>Sedan</v>
      </c>
      <c r="F67" s="4">
        <f t="shared" ca="1" si="2"/>
        <v>1</v>
      </c>
      <c r="G67" s="8">
        <f t="shared" ca="1" si="3"/>
        <v>7809681</v>
      </c>
      <c r="H67" s="8">
        <f t="shared" ca="1" si="4"/>
        <v>7809681</v>
      </c>
      <c r="I67" s="8">
        <f t="shared" ca="1" si="5"/>
        <v>5935357.5599999996</v>
      </c>
      <c r="J67" s="8">
        <f t="shared" ca="1" si="6"/>
        <v>1874323.4400000004</v>
      </c>
      <c r="K67" s="6">
        <f t="shared" ca="1" si="7"/>
        <v>0.24000000000000005</v>
      </c>
      <c r="L67" s="4" t="str" cm="1">
        <f t="array" aca="1" ref="L6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7" s="8">
        <f t="shared" ca="1" si="8"/>
        <v>24935</v>
      </c>
      <c r="N67" s="4" t="str" cm="1">
        <f t="array" aca="1" ref="N67" ca="1">INDEX({"New";"Repeat"}, RANDBETWEEN(1,2))</f>
        <v>New</v>
      </c>
      <c r="O67" s="4" t="str" cm="1">
        <f t="array" aca="1" ref="O67" ca="1">INDEX({"Loan";"Cash";"Lease"}, RANDBETWEEN(1,3))</f>
        <v>Lease</v>
      </c>
    </row>
    <row r="68" spans="1:15" x14ac:dyDescent="0.2">
      <c r="A68" s="4">
        <v>66</v>
      </c>
      <c r="B68" s="5">
        <f t="shared" ref="B68:B131" ca="1" si="9">RANDBETWEEN(DATE(2023,1,1),DATE(2025,9,1))</f>
        <v>45038</v>
      </c>
      <c r="C68" s="4" t="str" cm="1">
        <f t="array" aca="1" ref="C68" ca="1">INDEX({"Cochin";"Delhi";"Mumbai";"Pune";"Bengaluru"}, RANDBETWEEN(1,5))</f>
        <v>Mumbai</v>
      </c>
      <c r="D68" s="4" t="str" cm="1">
        <f t="array" aca="1" ref="D68" ca="1">INDEX({"C-Class";"E-Class";"S-Class";"GLA";"GLC";"GLE";"GLS";"EQB"}, RANDBETWEEN(1,8))</f>
        <v>GLE</v>
      </c>
      <c r="E68" s="4" t="str">
        <f t="shared" ref="E68:E131" ca="1" si="10">IF(D68="EQB","EV", IF(OR(D68="GLA",D68="GLC",D68="GLE",D68="GLS"),"SUV","Sedan"))</f>
        <v>SUV</v>
      </c>
      <c r="F68" s="4">
        <f t="shared" ref="F68:F131" ca="1" si="11">RANDBETWEEN(1,5)</f>
        <v>4</v>
      </c>
      <c r="G68" s="8">
        <f t="shared" ref="G68:G131" ca="1" si="12">IF(D68="C-Class",RANDBETWEEN(5500000,7000000),
IF(D68="E-Class",RANDBETWEEN(7500000,9500000),
IF(D68="S-Class",RANDBETWEEN(15000000,25000000),
IF(D68="GLA",RANDBETWEEN(4500000,5500000),
IF(D68="GLC",RANDBETWEEN(6500000,7500000),
IF(D68="GLE",RANDBETWEEN(9000000,13000000),
IF(D68="GLS",RANDBETWEEN(13000000,18000000),
IF(D68="EQB",RANDBETWEEN(7000000,8000000)))))))))</f>
        <v>9140080</v>
      </c>
      <c r="H68" s="8">
        <f t="shared" ref="H68:H131" ca="1" si="13">F68*G68</f>
        <v>36560320</v>
      </c>
      <c r="I68" s="8">
        <f t="shared" ref="I68:I131" ca="1" si="14">G68 *F68* RANDBETWEEN(70,85) / 100</f>
        <v>25592224</v>
      </c>
      <c r="J68" s="8">
        <f t="shared" ref="J68:J131" ca="1" si="15">H68 -I68</f>
        <v>10968096</v>
      </c>
      <c r="K68" s="6">
        <f t="shared" ref="K68:K131" ca="1" si="16">J68/H68</f>
        <v>0.3</v>
      </c>
      <c r="L68" s="4" t="str" cm="1">
        <f t="array" aca="1" ref="L6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68" s="8">
        <f t="shared" ref="M68:M131" ca="1" si="17">IF(N68="New", RANDBETWEEN(10000,25000), RANDBETWEEN(3000,8000))</f>
        <v>7946</v>
      </c>
      <c r="N68" s="4" t="str" cm="1">
        <f t="array" aca="1" ref="N68" ca="1">INDEX({"New";"Repeat"}, RANDBETWEEN(1,2))</f>
        <v>Repeat</v>
      </c>
      <c r="O68" s="4" t="str" cm="1">
        <f t="array" aca="1" ref="O68" ca="1">INDEX({"Loan";"Cash";"Lease"}, RANDBETWEEN(1,3))</f>
        <v>Lease</v>
      </c>
    </row>
    <row r="69" spans="1:15" x14ac:dyDescent="0.2">
      <c r="A69" s="4">
        <v>67</v>
      </c>
      <c r="B69" s="5">
        <f t="shared" ca="1" si="9"/>
        <v>45246</v>
      </c>
      <c r="C69" s="4" t="str" cm="1">
        <f t="array" aca="1" ref="C69" ca="1">INDEX({"Cochin";"Delhi";"Mumbai";"Pune";"Bengaluru"}, RANDBETWEEN(1,5))</f>
        <v>Pune</v>
      </c>
      <c r="D69" s="4" t="str" cm="1">
        <f t="array" aca="1" ref="D69" ca="1">INDEX({"C-Class";"E-Class";"S-Class";"GLA";"GLC";"GLE";"GLS";"EQB"}, RANDBETWEEN(1,8))</f>
        <v>C-Class</v>
      </c>
      <c r="E69" s="4" t="str">
        <f t="shared" ca="1" si="10"/>
        <v>Sedan</v>
      </c>
      <c r="F69" s="4">
        <f t="shared" ca="1" si="11"/>
        <v>2</v>
      </c>
      <c r="G69" s="8">
        <f t="shared" ca="1" si="12"/>
        <v>5586011</v>
      </c>
      <c r="H69" s="8">
        <f t="shared" ca="1" si="13"/>
        <v>11172022</v>
      </c>
      <c r="I69" s="8">
        <f t="shared" ca="1" si="14"/>
        <v>8937617.5999999996</v>
      </c>
      <c r="J69" s="8">
        <f t="shared" ca="1" si="15"/>
        <v>2234404.4000000004</v>
      </c>
      <c r="K69" s="6">
        <f t="shared" ca="1" si="16"/>
        <v>0.20000000000000004</v>
      </c>
      <c r="L69" s="4" t="str" cm="1">
        <f t="array" aca="1" ref="L6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9" s="8">
        <f t="shared" ca="1" si="17"/>
        <v>3892</v>
      </c>
      <c r="N69" s="4" t="str" cm="1">
        <f t="array" aca="1" ref="N69" ca="1">INDEX({"New";"Repeat"}, RANDBETWEEN(1,2))</f>
        <v>Repeat</v>
      </c>
      <c r="O69" s="4" t="str" cm="1">
        <f t="array" aca="1" ref="O69" ca="1">INDEX({"Loan";"Cash";"Lease"}, RANDBETWEEN(1,3))</f>
        <v>Cash</v>
      </c>
    </row>
    <row r="70" spans="1:15" x14ac:dyDescent="0.2">
      <c r="A70" s="4">
        <v>68</v>
      </c>
      <c r="B70" s="5">
        <f t="shared" ca="1" si="9"/>
        <v>45564</v>
      </c>
      <c r="C70" s="4" t="str" cm="1">
        <f t="array" aca="1" ref="C70" ca="1">INDEX({"Cochin";"Delhi";"Mumbai";"Pune";"Bengaluru"}, RANDBETWEEN(1,5))</f>
        <v>Cochin</v>
      </c>
      <c r="D70" s="4" t="str" cm="1">
        <f t="array" aca="1" ref="D70" ca="1">INDEX({"C-Class";"E-Class";"S-Class";"GLA";"GLC";"GLE";"GLS";"EQB"}, RANDBETWEEN(1,8))</f>
        <v>GLA</v>
      </c>
      <c r="E70" s="4" t="str">
        <f t="shared" ca="1" si="10"/>
        <v>SUV</v>
      </c>
      <c r="F70" s="4">
        <f t="shared" ca="1" si="11"/>
        <v>3</v>
      </c>
      <c r="G70" s="8">
        <f t="shared" ca="1" si="12"/>
        <v>5227923</v>
      </c>
      <c r="H70" s="8">
        <f t="shared" ca="1" si="13"/>
        <v>15683769</v>
      </c>
      <c r="I70" s="8">
        <f t="shared" ca="1" si="14"/>
        <v>11605989.060000001</v>
      </c>
      <c r="J70" s="8">
        <f t="shared" ca="1" si="15"/>
        <v>4077779.9399999995</v>
      </c>
      <c r="K70" s="6">
        <f t="shared" ca="1" si="16"/>
        <v>0.25999999999999995</v>
      </c>
      <c r="L70" s="4" t="str" cm="1">
        <f t="array" aca="1" ref="L7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0" s="8">
        <f t="shared" ca="1" si="17"/>
        <v>24393</v>
      </c>
      <c r="N70" s="4" t="str" cm="1">
        <f t="array" aca="1" ref="N70" ca="1">INDEX({"New";"Repeat"}, RANDBETWEEN(1,2))</f>
        <v>New</v>
      </c>
      <c r="O70" s="4" t="str" cm="1">
        <f t="array" aca="1" ref="O70" ca="1">INDEX({"Loan";"Cash";"Lease"}, RANDBETWEEN(1,3))</f>
        <v>Loan</v>
      </c>
    </row>
    <row r="71" spans="1:15" x14ac:dyDescent="0.2">
      <c r="A71" s="4">
        <v>69</v>
      </c>
      <c r="B71" s="5">
        <f t="shared" ca="1" si="9"/>
        <v>45164</v>
      </c>
      <c r="C71" s="4" t="str" cm="1">
        <f t="array" aca="1" ref="C71" ca="1">INDEX({"Cochin";"Delhi";"Mumbai";"Pune";"Bengaluru"}, RANDBETWEEN(1,5))</f>
        <v>Bengaluru</v>
      </c>
      <c r="D71" s="4" t="str" cm="1">
        <f t="array" aca="1" ref="D71" ca="1">INDEX({"C-Class";"E-Class";"S-Class";"GLA";"GLC";"GLE";"GLS";"EQB"}, RANDBETWEEN(1,8))</f>
        <v>E-Class</v>
      </c>
      <c r="E71" s="4" t="str">
        <f t="shared" ca="1" si="10"/>
        <v>Sedan</v>
      </c>
      <c r="F71" s="4">
        <f t="shared" ca="1" si="11"/>
        <v>2</v>
      </c>
      <c r="G71" s="8">
        <f t="shared" ca="1" si="12"/>
        <v>9302423</v>
      </c>
      <c r="H71" s="8">
        <f t="shared" ca="1" si="13"/>
        <v>18604846</v>
      </c>
      <c r="I71" s="8">
        <f t="shared" ca="1" si="14"/>
        <v>13953634.5</v>
      </c>
      <c r="J71" s="8">
        <f t="shared" ca="1" si="15"/>
        <v>4651211.5</v>
      </c>
      <c r="K71" s="6">
        <f t="shared" ca="1" si="16"/>
        <v>0.25</v>
      </c>
      <c r="L71" s="4" t="str" cm="1">
        <f t="array" aca="1" ref="L7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1" s="8">
        <f t="shared" ca="1" si="17"/>
        <v>4868</v>
      </c>
      <c r="N71" s="4" t="str" cm="1">
        <f t="array" aca="1" ref="N71" ca="1">INDEX({"New";"Repeat"}, RANDBETWEEN(1,2))</f>
        <v>Repeat</v>
      </c>
      <c r="O71" s="4" t="str" cm="1">
        <f t="array" aca="1" ref="O71" ca="1">INDEX({"Loan";"Cash";"Lease"}, RANDBETWEEN(1,3))</f>
        <v>Lease</v>
      </c>
    </row>
    <row r="72" spans="1:15" x14ac:dyDescent="0.2">
      <c r="A72" s="4">
        <v>70</v>
      </c>
      <c r="B72" s="5">
        <f t="shared" ca="1" si="9"/>
        <v>45200</v>
      </c>
      <c r="C72" s="4" t="str" cm="1">
        <f t="array" aca="1" ref="C72" ca="1">INDEX({"Cochin";"Delhi";"Mumbai";"Pune";"Bengaluru"}, RANDBETWEEN(1,5))</f>
        <v>Bengaluru</v>
      </c>
      <c r="D72" s="4" t="str" cm="1">
        <f t="array" aca="1" ref="D72" ca="1">INDEX({"C-Class";"E-Class";"S-Class";"GLA";"GLC";"GLE";"GLS";"EQB"}, RANDBETWEEN(1,8))</f>
        <v>E-Class</v>
      </c>
      <c r="E72" s="4" t="str">
        <f t="shared" ca="1" si="10"/>
        <v>Sedan</v>
      </c>
      <c r="F72" s="4">
        <f t="shared" ca="1" si="11"/>
        <v>2</v>
      </c>
      <c r="G72" s="8">
        <f t="shared" ca="1" si="12"/>
        <v>8217558</v>
      </c>
      <c r="H72" s="8">
        <f t="shared" ca="1" si="13"/>
        <v>16435116</v>
      </c>
      <c r="I72" s="8">
        <f t="shared" ca="1" si="14"/>
        <v>12819390.48</v>
      </c>
      <c r="J72" s="8">
        <f t="shared" ca="1" si="15"/>
        <v>3615725.5199999996</v>
      </c>
      <c r="K72" s="6">
        <f t="shared" ca="1" si="16"/>
        <v>0.21999999999999997</v>
      </c>
      <c r="L72" s="4" t="str" cm="1">
        <f t="array" aca="1" ref="L7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2" s="8">
        <f t="shared" ca="1" si="17"/>
        <v>7238</v>
      </c>
      <c r="N72" s="4" t="str" cm="1">
        <f t="array" aca="1" ref="N72" ca="1">INDEX({"New";"Repeat"}, RANDBETWEEN(1,2))</f>
        <v>Repeat</v>
      </c>
      <c r="O72" s="4" t="str" cm="1">
        <f t="array" aca="1" ref="O72" ca="1">INDEX({"Loan";"Cash";"Lease"}, RANDBETWEEN(1,3))</f>
        <v>Loan</v>
      </c>
    </row>
    <row r="73" spans="1:15" x14ac:dyDescent="0.2">
      <c r="A73" s="4">
        <v>71</v>
      </c>
      <c r="B73" s="5">
        <f t="shared" ca="1" si="9"/>
        <v>45150</v>
      </c>
      <c r="C73" s="4" t="str" cm="1">
        <f t="array" aca="1" ref="C73" ca="1">INDEX({"Cochin";"Delhi";"Mumbai";"Pune";"Bengaluru"}, RANDBETWEEN(1,5))</f>
        <v>Pune</v>
      </c>
      <c r="D73" s="4" t="str" cm="1">
        <f t="array" aca="1" ref="D73" ca="1">INDEX({"C-Class";"E-Class";"S-Class";"GLA";"GLC";"GLE";"GLS";"EQB"}, RANDBETWEEN(1,8))</f>
        <v>E-Class</v>
      </c>
      <c r="E73" s="4" t="str">
        <f t="shared" ca="1" si="10"/>
        <v>Sedan</v>
      </c>
      <c r="F73" s="4">
        <f t="shared" ca="1" si="11"/>
        <v>2</v>
      </c>
      <c r="G73" s="8">
        <f t="shared" ca="1" si="12"/>
        <v>8932798</v>
      </c>
      <c r="H73" s="8">
        <f t="shared" ca="1" si="13"/>
        <v>17865596</v>
      </c>
      <c r="I73" s="8">
        <f t="shared" ca="1" si="14"/>
        <v>14292476.800000001</v>
      </c>
      <c r="J73" s="8">
        <f t="shared" ca="1" si="15"/>
        <v>3573119.1999999993</v>
      </c>
      <c r="K73" s="6">
        <f t="shared" ca="1" si="16"/>
        <v>0.19999999999999996</v>
      </c>
      <c r="L73" s="4" t="str" cm="1">
        <f t="array" aca="1" ref="L73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3" s="8">
        <f t="shared" ca="1" si="17"/>
        <v>5488</v>
      </c>
      <c r="N73" s="4" t="str" cm="1">
        <f t="array" aca="1" ref="N73" ca="1">INDEX({"New";"Repeat"}, RANDBETWEEN(1,2))</f>
        <v>Repeat</v>
      </c>
      <c r="O73" s="4" t="str" cm="1">
        <f t="array" aca="1" ref="O73" ca="1">INDEX({"Loan";"Cash";"Lease"}, RANDBETWEEN(1,3))</f>
        <v>Lease</v>
      </c>
    </row>
    <row r="74" spans="1:15" x14ac:dyDescent="0.2">
      <c r="A74" s="4">
        <v>72</v>
      </c>
      <c r="B74" s="5">
        <f t="shared" ca="1" si="9"/>
        <v>45600</v>
      </c>
      <c r="C74" s="4" t="str" cm="1">
        <f t="array" aca="1" ref="C74" ca="1">INDEX({"Cochin";"Delhi";"Mumbai";"Pune";"Bengaluru"}, RANDBETWEEN(1,5))</f>
        <v>Mumbai</v>
      </c>
      <c r="D74" s="4" t="str" cm="1">
        <f t="array" aca="1" ref="D74" ca="1">INDEX({"C-Class";"E-Class";"S-Class";"GLA";"GLC";"GLE";"GLS";"EQB"}, RANDBETWEEN(1,8))</f>
        <v>C-Class</v>
      </c>
      <c r="E74" s="4" t="str">
        <f t="shared" ca="1" si="10"/>
        <v>Sedan</v>
      </c>
      <c r="F74" s="4">
        <f t="shared" ca="1" si="11"/>
        <v>5</v>
      </c>
      <c r="G74" s="8">
        <f t="shared" ca="1" si="12"/>
        <v>5797521</v>
      </c>
      <c r="H74" s="8">
        <f t="shared" ca="1" si="13"/>
        <v>28987605</v>
      </c>
      <c r="I74" s="8">
        <f t="shared" ca="1" si="14"/>
        <v>22610331.899999999</v>
      </c>
      <c r="J74" s="8">
        <f t="shared" ca="1" si="15"/>
        <v>6377273.1000000015</v>
      </c>
      <c r="K74" s="6">
        <f t="shared" ca="1" si="16"/>
        <v>0.22000000000000006</v>
      </c>
      <c r="L74" s="4" t="str" cm="1">
        <f t="array" aca="1" ref="L7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4" s="8">
        <f t="shared" ca="1" si="17"/>
        <v>18016</v>
      </c>
      <c r="N74" s="4" t="str" cm="1">
        <f t="array" aca="1" ref="N74" ca="1">INDEX({"New";"Repeat"}, RANDBETWEEN(1,2))</f>
        <v>New</v>
      </c>
      <c r="O74" s="4" t="str" cm="1">
        <f t="array" aca="1" ref="O74" ca="1">INDEX({"Loan";"Cash";"Lease"}, RANDBETWEEN(1,3))</f>
        <v>Lease</v>
      </c>
    </row>
    <row r="75" spans="1:15" x14ac:dyDescent="0.2">
      <c r="A75" s="4">
        <v>73</v>
      </c>
      <c r="B75" s="5">
        <f t="shared" ca="1" si="9"/>
        <v>45573</v>
      </c>
      <c r="C75" s="4" t="str" cm="1">
        <f t="array" aca="1" ref="C75" ca="1">INDEX({"Cochin";"Delhi";"Mumbai";"Pune";"Bengaluru"}, RANDBETWEEN(1,5))</f>
        <v>Mumbai</v>
      </c>
      <c r="D75" s="4" t="str" cm="1">
        <f t="array" aca="1" ref="D75" ca="1">INDEX({"C-Class";"E-Class";"S-Class";"GLA";"GLC";"GLE";"GLS";"EQB"}, RANDBETWEEN(1,8))</f>
        <v>GLE</v>
      </c>
      <c r="E75" s="4" t="str">
        <f t="shared" ca="1" si="10"/>
        <v>SUV</v>
      </c>
      <c r="F75" s="4">
        <f t="shared" ca="1" si="11"/>
        <v>1</v>
      </c>
      <c r="G75" s="8">
        <f t="shared" ca="1" si="12"/>
        <v>12461278</v>
      </c>
      <c r="H75" s="8">
        <f t="shared" ca="1" si="13"/>
        <v>12461278</v>
      </c>
      <c r="I75" s="8">
        <f t="shared" ca="1" si="14"/>
        <v>9345958.5</v>
      </c>
      <c r="J75" s="8">
        <f t="shared" ca="1" si="15"/>
        <v>3115319.5</v>
      </c>
      <c r="K75" s="6">
        <f t="shared" ca="1" si="16"/>
        <v>0.25</v>
      </c>
      <c r="L75" s="4" t="str" cm="1">
        <f t="array" aca="1" ref="L7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5" s="8">
        <f t="shared" ca="1" si="17"/>
        <v>21382</v>
      </c>
      <c r="N75" s="4" t="str" cm="1">
        <f t="array" aca="1" ref="N75" ca="1">INDEX({"New";"Repeat"}, RANDBETWEEN(1,2))</f>
        <v>New</v>
      </c>
      <c r="O75" s="4" t="str" cm="1">
        <f t="array" aca="1" ref="O75" ca="1">INDEX({"Loan";"Cash";"Lease"}, RANDBETWEEN(1,3))</f>
        <v>Lease</v>
      </c>
    </row>
    <row r="76" spans="1:15" x14ac:dyDescent="0.2">
      <c r="A76" s="4">
        <v>74</v>
      </c>
      <c r="B76" s="5">
        <f t="shared" ca="1" si="9"/>
        <v>45848</v>
      </c>
      <c r="C76" s="4" t="str" cm="1">
        <f t="array" aca="1" ref="C76" ca="1">INDEX({"Cochin";"Delhi";"Mumbai";"Pune";"Bengaluru"}, RANDBETWEEN(1,5))</f>
        <v>Delhi</v>
      </c>
      <c r="D76" s="4" t="str" cm="1">
        <f t="array" aca="1" ref="D76" ca="1">INDEX({"C-Class";"E-Class";"S-Class";"GLA";"GLC";"GLE";"GLS";"EQB"}, RANDBETWEEN(1,8))</f>
        <v>GLS</v>
      </c>
      <c r="E76" s="4" t="str">
        <f t="shared" ca="1" si="10"/>
        <v>SUV</v>
      </c>
      <c r="F76" s="4">
        <f t="shared" ca="1" si="11"/>
        <v>5</v>
      </c>
      <c r="G76" s="8">
        <f t="shared" ca="1" si="12"/>
        <v>16456939</v>
      </c>
      <c r="H76" s="8">
        <f t="shared" ca="1" si="13"/>
        <v>82284695</v>
      </c>
      <c r="I76" s="8">
        <f t="shared" ca="1" si="14"/>
        <v>68296296.849999994</v>
      </c>
      <c r="J76" s="8">
        <f t="shared" ca="1" si="15"/>
        <v>13988398.150000006</v>
      </c>
      <c r="K76" s="6">
        <f t="shared" ca="1" si="16"/>
        <v>0.17000000000000007</v>
      </c>
      <c r="L76" s="4" t="str" cm="1">
        <f t="array" aca="1" ref="L7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6" s="8">
        <f t="shared" ca="1" si="17"/>
        <v>11518</v>
      </c>
      <c r="N76" s="4" t="str" cm="1">
        <f t="array" aca="1" ref="N76" ca="1">INDEX({"New";"Repeat"}, RANDBETWEEN(1,2))</f>
        <v>New</v>
      </c>
      <c r="O76" s="4" t="str" cm="1">
        <f t="array" aca="1" ref="O76" ca="1">INDEX({"Loan";"Cash";"Lease"}, RANDBETWEEN(1,3))</f>
        <v>Loan</v>
      </c>
    </row>
    <row r="77" spans="1:15" x14ac:dyDescent="0.2">
      <c r="A77" s="4">
        <v>75</v>
      </c>
      <c r="B77" s="5">
        <f t="shared" ca="1" si="9"/>
        <v>45785</v>
      </c>
      <c r="C77" s="4" t="str" cm="1">
        <f t="array" aca="1" ref="C77" ca="1">INDEX({"Cochin";"Delhi";"Mumbai";"Pune";"Bengaluru"}, RANDBETWEEN(1,5))</f>
        <v>Delhi</v>
      </c>
      <c r="D77" s="4" t="str" cm="1">
        <f t="array" aca="1" ref="D77" ca="1">INDEX({"C-Class";"E-Class";"S-Class";"GLA";"GLC";"GLE";"GLS";"EQB"}, RANDBETWEEN(1,8))</f>
        <v>GLA</v>
      </c>
      <c r="E77" s="4" t="str">
        <f t="shared" ca="1" si="10"/>
        <v>SUV</v>
      </c>
      <c r="F77" s="4">
        <f t="shared" ca="1" si="11"/>
        <v>3</v>
      </c>
      <c r="G77" s="8">
        <f t="shared" ca="1" si="12"/>
        <v>4843033</v>
      </c>
      <c r="H77" s="8">
        <f t="shared" ca="1" si="13"/>
        <v>14529099</v>
      </c>
      <c r="I77" s="8">
        <f t="shared" ca="1" si="14"/>
        <v>10460951.279999999</v>
      </c>
      <c r="J77" s="8">
        <f t="shared" ca="1" si="15"/>
        <v>4068147.7200000007</v>
      </c>
      <c r="K77" s="6">
        <f t="shared" ca="1" si="16"/>
        <v>0.28000000000000003</v>
      </c>
      <c r="L77" s="4" t="str" cm="1">
        <f t="array" aca="1" ref="L77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7" s="8">
        <f t="shared" ca="1" si="17"/>
        <v>6827</v>
      </c>
      <c r="N77" s="4" t="str" cm="1">
        <f t="array" aca="1" ref="N77" ca="1">INDEX({"New";"Repeat"}, RANDBETWEEN(1,2))</f>
        <v>Repeat</v>
      </c>
      <c r="O77" s="4" t="str" cm="1">
        <f t="array" aca="1" ref="O77" ca="1">INDEX({"Loan";"Cash";"Lease"}, RANDBETWEEN(1,3))</f>
        <v>Lease</v>
      </c>
    </row>
    <row r="78" spans="1:15" x14ac:dyDescent="0.2">
      <c r="A78" s="4">
        <v>76</v>
      </c>
      <c r="B78" s="5">
        <f t="shared" ca="1" si="9"/>
        <v>45878</v>
      </c>
      <c r="C78" s="4" t="str" cm="1">
        <f t="array" aca="1" ref="C78" ca="1">INDEX({"Cochin";"Delhi";"Mumbai";"Pune";"Bengaluru"}, RANDBETWEEN(1,5))</f>
        <v>Mumbai</v>
      </c>
      <c r="D78" s="4" t="str" cm="1">
        <f t="array" aca="1" ref="D78" ca="1">INDEX({"C-Class";"E-Class";"S-Class";"GLA";"GLC";"GLE";"GLS";"EQB"}, RANDBETWEEN(1,8))</f>
        <v>GLA</v>
      </c>
      <c r="E78" s="4" t="str">
        <f t="shared" ca="1" si="10"/>
        <v>SUV</v>
      </c>
      <c r="F78" s="4">
        <f t="shared" ca="1" si="11"/>
        <v>2</v>
      </c>
      <c r="G78" s="8">
        <f t="shared" ca="1" si="12"/>
        <v>5291515</v>
      </c>
      <c r="H78" s="8">
        <f t="shared" ca="1" si="13"/>
        <v>10583030</v>
      </c>
      <c r="I78" s="8">
        <f t="shared" ca="1" si="14"/>
        <v>7725611.9000000004</v>
      </c>
      <c r="J78" s="8">
        <f t="shared" ca="1" si="15"/>
        <v>2857418.0999999996</v>
      </c>
      <c r="K78" s="6">
        <f t="shared" ca="1" si="16"/>
        <v>0.26999999999999996</v>
      </c>
      <c r="L78" s="4" t="str" cm="1">
        <f t="array" aca="1" ref="L7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8" s="8">
        <f t="shared" ca="1" si="17"/>
        <v>23491</v>
      </c>
      <c r="N78" s="4" t="str" cm="1">
        <f t="array" aca="1" ref="N78" ca="1">INDEX({"New";"Repeat"}, RANDBETWEEN(1,2))</f>
        <v>New</v>
      </c>
      <c r="O78" s="4" t="str" cm="1">
        <f t="array" aca="1" ref="O78" ca="1">INDEX({"Loan";"Cash";"Lease"}, RANDBETWEEN(1,3))</f>
        <v>Cash</v>
      </c>
    </row>
    <row r="79" spans="1:15" x14ac:dyDescent="0.2">
      <c r="A79" s="4">
        <v>77</v>
      </c>
      <c r="B79" s="5">
        <f t="shared" ca="1" si="9"/>
        <v>45466</v>
      </c>
      <c r="C79" s="4" t="str" cm="1">
        <f t="array" aca="1" ref="C79" ca="1">INDEX({"Cochin";"Delhi";"Mumbai";"Pune";"Bengaluru"}, RANDBETWEEN(1,5))</f>
        <v>Bengaluru</v>
      </c>
      <c r="D79" s="4" t="str" cm="1">
        <f t="array" aca="1" ref="D79" ca="1">INDEX({"C-Class";"E-Class";"S-Class";"GLA";"GLC";"GLE";"GLS";"EQB"}, RANDBETWEEN(1,8))</f>
        <v>C-Class</v>
      </c>
      <c r="E79" s="4" t="str">
        <f t="shared" ca="1" si="10"/>
        <v>Sedan</v>
      </c>
      <c r="F79" s="4">
        <f t="shared" ca="1" si="11"/>
        <v>5</v>
      </c>
      <c r="G79" s="8">
        <f t="shared" ca="1" si="12"/>
        <v>6637381</v>
      </c>
      <c r="H79" s="8">
        <f t="shared" ca="1" si="13"/>
        <v>33186905</v>
      </c>
      <c r="I79" s="8">
        <f t="shared" ca="1" si="14"/>
        <v>23894571.600000001</v>
      </c>
      <c r="J79" s="8">
        <f t="shared" ca="1" si="15"/>
        <v>9292333.3999999985</v>
      </c>
      <c r="K79" s="6">
        <f t="shared" ca="1" si="16"/>
        <v>0.27999999999999997</v>
      </c>
      <c r="L79" s="4" t="str" cm="1">
        <f t="array" aca="1" ref="L79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9" s="8">
        <f t="shared" ca="1" si="17"/>
        <v>4040</v>
      </c>
      <c r="N79" s="4" t="str" cm="1">
        <f t="array" aca="1" ref="N79" ca="1">INDEX({"New";"Repeat"}, RANDBETWEEN(1,2))</f>
        <v>Repeat</v>
      </c>
      <c r="O79" s="4" t="str" cm="1">
        <f t="array" aca="1" ref="O79" ca="1">INDEX({"Loan";"Cash";"Lease"}, RANDBETWEEN(1,3))</f>
        <v>Lease</v>
      </c>
    </row>
    <row r="80" spans="1:15" x14ac:dyDescent="0.2">
      <c r="A80" s="4">
        <v>78</v>
      </c>
      <c r="B80" s="5">
        <f t="shared" ca="1" si="9"/>
        <v>45552</v>
      </c>
      <c r="C80" s="4" t="str" cm="1">
        <f t="array" aca="1" ref="C80" ca="1">INDEX({"Cochin";"Delhi";"Mumbai";"Pune";"Bengaluru"}, RANDBETWEEN(1,5))</f>
        <v>Mumbai</v>
      </c>
      <c r="D80" s="4" t="str" cm="1">
        <f t="array" aca="1" ref="D80" ca="1">INDEX({"C-Class";"E-Class";"S-Class";"GLA";"GLC";"GLE";"GLS";"EQB"}, RANDBETWEEN(1,8))</f>
        <v>GLC</v>
      </c>
      <c r="E80" s="4" t="str">
        <f t="shared" ca="1" si="10"/>
        <v>SUV</v>
      </c>
      <c r="F80" s="4">
        <f t="shared" ca="1" si="11"/>
        <v>1</v>
      </c>
      <c r="G80" s="8">
        <f t="shared" ca="1" si="12"/>
        <v>6803603</v>
      </c>
      <c r="H80" s="8">
        <f t="shared" ca="1" si="13"/>
        <v>6803603</v>
      </c>
      <c r="I80" s="8">
        <f t="shared" ca="1" si="14"/>
        <v>5170738.28</v>
      </c>
      <c r="J80" s="8">
        <f t="shared" ca="1" si="15"/>
        <v>1632864.7199999997</v>
      </c>
      <c r="K80" s="6">
        <f t="shared" ca="1" si="16"/>
        <v>0.23999999999999996</v>
      </c>
      <c r="L80" s="4" t="str" cm="1">
        <f t="array" aca="1" ref="L8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0" s="8">
        <f t="shared" ca="1" si="17"/>
        <v>23632</v>
      </c>
      <c r="N80" s="4" t="str" cm="1">
        <f t="array" aca="1" ref="N80" ca="1">INDEX({"New";"Repeat"}, RANDBETWEEN(1,2))</f>
        <v>New</v>
      </c>
      <c r="O80" s="4" t="str" cm="1">
        <f t="array" aca="1" ref="O80" ca="1">INDEX({"Loan";"Cash";"Lease"}, RANDBETWEEN(1,3))</f>
        <v>Lease</v>
      </c>
    </row>
    <row r="81" spans="1:15" x14ac:dyDescent="0.2">
      <c r="A81" s="4">
        <v>79</v>
      </c>
      <c r="B81" s="5">
        <f t="shared" ca="1" si="9"/>
        <v>45855</v>
      </c>
      <c r="C81" s="4" t="str" cm="1">
        <f t="array" aca="1" ref="C81" ca="1">INDEX({"Cochin";"Delhi";"Mumbai";"Pune";"Bengaluru"}, RANDBETWEEN(1,5))</f>
        <v>Cochin</v>
      </c>
      <c r="D81" s="4" t="str" cm="1">
        <f t="array" aca="1" ref="D81" ca="1">INDEX({"C-Class";"E-Class";"S-Class";"GLA";"GLC";"GLE";"GLS";"EQB"}, RANDBETWEEN(1,8))</f>
        <v>GLA</v>
      </c>
      <c r="E81" s="4" t="str">
        <f t="shared" ca="1" si="10"/>
        <v>SUV</v>
      </c>
      <c r="F81" s="4">
        <f t="shared" ca="1" si="11"/>
        <v>2</v>
      </c>
      <c r="G81" s="8">
        <f t="shared" ca="1" si="12"/>
        <v>5310415</v>
      </c>
      <c r="H81" s="8">
        <f t="shared" ca="1" si="13"/>
        <v>10620830</v>
      </c>
      <c r="I81" s="8">
        <f t="shared" ca="1" si="14"/>
        <v>7646997.5999999996</v>
      </c>
      <c r="J81" s="8">
        <f t="shared" ca="1" si="15"/>
        <v>2973832.4000000004</v>
      </c>
      <c r="K81" s="6">
        <f t="shared" ca="1" si="16"/>
        <v>0.28000000000000003</v>
      </c>
      <c r="L81" s="4" t="str" cm="1">
        <f t="array" aca="1" ref="L8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1" s="8">
        <f t="shared" ca="1" si="17"/>
        <v>4072</v>
      </c>
      <c r="N81" s="4" t="str" cm="1">
        <f t="array" aca="1" ref="N81" ca="1">INDEX({"New";"Repeat"}, RANDBETWEEN(1,2))</f>
        <v>Repeat</v>
      </c>
      <c r="O81" s="4" t="str" cm="1">
        <f t="array" aca="1" ref="O81" ca="1">INDEX({"Loan";"Cash";"Lease"}, RANDBETWEEN(1,3))</f>
        <v>Lease</v>
      </c>
    </row>
    <row r="82" spans="1:15" x14ac:dyDescent="0.2">
      <c r="A82" s="4">
        <v>80</v>
      </c>
      <c r="B82" s="5">
        <f t="shared" ca="1" si="9"/>
        <v>45182</v>
      </c>
      <c r="C82" s="4" t="str" cm="1">
        <f t="array" aca="1" ref="C82" ca="1">INDEX({"Cochin";"Delhi";"Mumbai";"Pune";"Bengaluru"}, RANDBETWEEN(1,5))</f>
        <v>Delhi</v>
      </c>
      <c r="D82" s="4" t="str" cm="1">
        <f t="array" aca="1" ref="D82" ca="1">INDEX({"C-Class";"E-Class";"S-Class";"GLA";"GLC";"GLE";"GLS";"EQB"}, RANDBETWEEN(1,8))</f>
        <v>GLA</v>
      </c>
      <c r="E82" s="4" t="str">
        <f t="shared" ca="1" si="10"/>
        <v>SUV</v>
      </c>
      <c r="F82" s="4">
        <f t="shared" ca="1" si="11"/>
        <v>2</v>
      </c>
      <c r="G82" s="8">
        <f t="shared" ca="1" si="12"/>
        <v>4570447</v>
      </c>
      <c r="H82" s="8">
        <f t="shared" ca="1" si="13"/>
        <v>9140894</v>
      </c>
      <c r="I82" s="8">
        <f t="shared" ca="1" si="14"/>
        <v>7129897.3200000003</v>
      </c>
      <c r="J82" s="8">
        <f t="shared" ca="1" si="15"/>
        <v>2010996.6799999997</v>
      </c>
      <c r="K82" s="6">
        <f t="shared" ca="1" si="16"/>
        <v>0.21999999999999997</v>
      </c>
      <c r="L82" s="4" t="str" cm="1">
        <f t="array" aca="1" ref="L8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82" s="8">
        <f t="shared" ca="1" si="17"/>
        <v>11724</v>
      </c>
      <c r="N82" s="4" t="str" cm="1">
        <f t="array" aca="1" ref="N82" ca="1">INDEX({"New";"Repeat"}, RANDBETWEEN(1,2))</f>
        <v>New</v>
      </c>
      <c r="O82" s="4" t="str" cm="1">
        <f t="array" aca="1" ref="O82" ca="1">INDEX({"Loan";"Cash";"Lease"}, RANDBETWEEN(1,3))</f>
        <v>Lease</v>
      </c>
    </row>
    <row r="83" spans="1:15" x14ac:dyDescent="0.2">
      <c r="A83" s="4">
        <v>81</v>
      </c>
      <c r="B83" s="5">
        <f t="shared" ca="1" si="9"/>
        <v>45045</v>
      </c>
      <c r="C83" s="4" t="str" cm="1">
        <f t="array" aca="1" ref="C83" ca="1">INDEX({"Cochin";"Delhi";"Mumbai";"Pune";"Bengaluru"}, RANDBETWEEN(1,5))</f>
        <v>Bengaluru</v>
      </c>
      <c r="D83" s="4" t="str" cm="1">
        <f t="array" aca="1" ref="D83" ca="1">INDEX({"C-Class";"E-Class";"S-Class";"GLA";"GLC";"GLE";"GLS";"EQB"}, RANDBETWEEN(1,8))</f>
        <v>GLS</v>
      </c>
      <c r="E83" s="4" t="str">
        <f t="shared" ca="1" si="10"/>
        <v>SUV</v>
      </c>
      <c r="F83" s="4">
        <f t="shared" ca="1" si="11"/>
        <v>5</v>
      </c>
      <c r="G83" s="8">
        <f t="shared" ca="1" si="12"/>
        <v>16774151</v>
      </c>
      <c r="H83" s="8">
        <f t="shared" ca="1" si="13"/>
        <v>83870755</v>
      </c>
      <c r="I83" s="8">
        <f t="shared" ca="1" si="14"/>
        <v>58709528.5</v>
      </c>
      <c r="J83" s="8">
        <f t="shared" ca="1" si="15"/>
        <v>25161226.5</v>
      </c>
      <c r="K83" s="6">
        <f t="shared" ca="1" si="16"/>
        <v>0.3</v>
      </c>
      <c r="L83" s="4" t="str" cm="1">
        <f t="array" aca="1" ref="L83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3" s="8">
        <f t="shared" ca="1" si="17"/>
        <v>3823</v>
      </c>
      <c r="N83" s="4" t="str" cm="1">
        <f t="array" aca="1" ref="N83" ca="1">INDEX({"New";"Repeat"}, RANDBETWEEN(1,2))</f>
        <v>Repeat</v>
      </c>
      <c r="O83" s="4" t="str" cm="1">
        <f t="array" aca="1" ref="O83" ca="1">INDEX({"Loan";"Cash";"Lease"}, RANDBETWEEN(1,3))</f>
        <v>Loan</v>
      </c>
    </row>
    <row r="84" spans="1:15" x14ac:dyDescent="0.2">
      <c r="A84" s="4">
        <v>82</v>
      </c>
      <c r="B84" s="5">
        <f t="shared" ca="1" si="9"/>
        <v>45070</v>
      </c>
      <c r="C84" s="4" t="str" cm="1">
        <f t="array" aca="1" ref="C84" ca="1">INDEX({"Cochin";"Delhi";"Mumbai";"Pune";"Bengaluru"}, RANDBETWEEN(1,5))</f>
        <v>Bengaluru</v>
      </c>
      <c r="D84" s="4" t="str" cm="1">
        <f t="array" aca="1" ref="D84" ca="1">INDEX({"C-Class";"E-Class";"S-Class";"GLA";"GLC";"GLE";"GLS";"EQB"}, RANDBETWEEN(1,8))</f>
        <v>EQB</v>
      </c>
      <c r="E84" s="4" t="str">
        <f t="shared" ca="1" si="10"/>
        <v>EV</v>
      </c>
      <c r="F84" s="4">
        <f t="shared" ca="1" si="11"/>
        <v>3</v>
      </c>
      <c r="G84" s="8">
        <f t="shared" ca="1" si="12"/>
        <v>7533408</v>
      </c>
      <c r="H84" s="8">
        <f t="shared" ca="1" si="13"/>
        <v>22600224</v>
      </c>
      <c r="I84" s="8">
        <f t="shared" ca="1" si="14"/>
        <v>17628174.719999999</v>
      </c>
      <c r="J84" s="8">
        <f t="shared" ca="1" si="15"/>
        <v>4972049.2800000012</v>
      </c>
      <c r="K84" s="6">
        <f t="shared" ca="1" si="16"/>
        <v>0.22000000000000006</v>
      </c>
      <c r="L84" s="4" t="str" cm="1">
        <f t="array" aca="1" ref="L8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4" s="8">
        <f t="shared" ca="1" si="17"/>
        <v>17373</v>
      </c>
      <c r="N84" s="4" t="str" cm="1">
        <f t="array" aca="1" ref="N84" ca="1">INDEX({"New";"Repeat"}, RANDBETWEEN(1,2))</f>
        <v>New</v>
      </c>
      <c r="O84" s="4" t="str" cm="1">
        <f t="array" aca="1" ref="O84" ca="1">INDEX({"Loan";"Cash";"Lease"}, RANDBETWEEN(1,3))</f>
        <v>Cash</v>
      </c>
    </row>
    <row r="85" spans="1:15" x14ac:dyDescent="0.2">
      <c r="A85" s="4">
        <v>83</v>
      </c>
      <c r="B85" s="5">
        <f t="shared" ca="1" si="9"/>
        <v>45630</v>
      </c>
      <c r="C85" s="4" t="str" cm="1">
        <f t="array" aca="1" ref="C85" ca="1">INDEX({"Cochin";"Delhi";"Mumbai";"Pune";"Bengaluru"}, RANDBETWEEN(1,5))</f>
        <v>Bengaluru</v>
      </c>
      <c r="D85" s="4" t="str" cm="1">
        <f t="array" aca="1" ref="D85" ca="1">INDEX({"C-Class";"E-Class";"S-Class";"GLA";"GLC";"GLE";"GLS";"EQB"}, RANDBETWEEN(1,8))</f>
        <v>S-Class</v>
      </c>
      <c r="E85" s="4" t="str">
        <f t="shared" ca="1" si="10"/>
        <v>Sedan</v>
      </c>
      <c r="F85" s="4">
        <f t="shared" ca="1" si="11"/>
        <v>1</v>
      </c>
      <c r="G85" s="8">
        <f t="shared" ca="1" si="12"/>
        <v>18164746</v>
      </c>
      <c r="H85" s="8">
        <f t="shared" ca="1" si="13"/>
        <v>18164746</v>
      </c>
      <c r="I85" s="8">
        <f t="shared" ca="1" si="14"/>
        <v>13623559.5</v>
      </c>
      <c r="J85" s="8">
        <f t="shared" ca="1" si="15"/>
        <v>4541186.5</v>
      </c>
      <c r="K85" s="6">
        <f t="shared" ca="1" si="16"/>
        <v>0.25</v>
      </c>
      <c r="L85" s="4" t="str" cm="1">
        <f t="array" aca="1" ref="L8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5" s="8">
        <f t="shared" ca="1" si="17"/>
        <v>7923</v>
      </c>
      <c r="N85" s="4" t="str" cm="1">
        <f t="array" aca="1" ref="N85" ca="1">INDEX({"New";"Repeat"}, RANDBETWEEN(1,2))</f>
        <v>Repeat</v>
      </c>
      <c r="O85" s="4" t="str" cm="1">
        <f t="array" aca="1" ref="O85" ca="1">INDEX({"Loan";"Cash";"Lease"}, RANDBETWEEN(1,3))</f>
        <v>Cash</v>
      </c>
    </row>
    <row r="86" spans="1:15" x14ac:dyDescent="0.2">
      <c r="A86" s="4">
        <v>84</v>
      </c>
      <c r="B86" s="5">
        <f t="shared" ca="1" si="9"/>
        <v>45739</v>
      </c>
      <c r="C86" s="4" t="str" cm="1">
        <f t="array" aca="1" ref="C86" ca="1">INDEX({"Cochin";"Delhi";"Mumbai";"Pune";"Bengaluru"}, RANDBETWEEN(1,5))</f>
        <v>Mumbai</v>
      </c>
      <c r="D86" s="4" t="str" cm="1">
        <f t="array" aca="1" ref="D86" ca="1">INDEX({"C-Class";"E-Class";"S-Class";"GLA";"GLC";"GLE";"GLS";"EQB"}, RANDBETWEEN(1,8))</f>
        <v>GLS</v>
      </c>
      <c r="E86" s="4" t="str">
        <f t="shared" ca="1" si="10"/>
        <v>SUV</v>
      </c>
      <c r="F86" s="4">
        <f t="shared" ca="1" si="11"/>
        <v>3</v>
      </c>
      <c r="G86" s="8">
        <f t="shared" ca="1" si="12"/>
        <v>16084303</v>
      </c>
      <c r="H86" s="8">
        <f t="shared" ca="1" si="13"/>
        <v>48252909</v>
      </c>
      <c r="I86" s="8">
        <f t="shared" ca="1" si="14"/>
        <v>35224623.57</v>
      </c>
      <c r="J86" s="8">
        <f t="shared" ca="1" si="15"/>
        <v>13028285.43</v>
      </c>
      <c r="K86" s="6">
        <f t="shared" ca="1" si="16"/>
        <v>0.27</v>
      </c>
      <c r="L86" s="4" t="str" cm="1">
        <f t="array" aca="1" ref="L8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6" s="8">
        <f t="shared" ca="1" si="17"/>
        <v>7415</v>
      </c>
      <c r="N86" s="4" t="str" cm="1">
        <f t="array" aca="1" ref="N86" ca="1">INDEX({"New";"Repeat"}, RANDBETWEEN(1,2))</f>
        <v>Repeat</v>
      </c>
      <c r="O86" s="4" t="str" cm="1">
        <f t="array" aca="1" ref="O86" ca="1">INDEX({"Loan";"Cash";"Lease"}, RANDBETWEEN(1,3))</f>
        <v>Loan</v>
      </c>
    </row>
    <row r="87" spans="1:15" x14ac:dyDescent="0.2">
      <c r="A87" s="4">
        <v>85</v>
      </c>
      <c r="B87" s="5">
        <f t="shared" ca="1" si="9"/>
        <v>45030</v>
      </c>
      <c r="C87" s="4" t="str" cm="1">
        <f t="array" aca="1" ref="C87" ca="1">INDEX({"Cochin";"Delhi";"Mumbai";"Pune";"Bengaluru"}, RANDBETWEEN(1,5))</f>
        <v>Cochin</v>
      </c>
      <c r="D87" s="4" t="str" cm="1">
        <f t="array" aca="1" ref="D87" ca="1">INDEX({"C-Class";"E-Class";"S-Class";"GLA";"GLC";"GLE";"GLS";"EQB"}, RANDBETWEEN(1,8))</f>
        <v>EQB</v>
      </c>
      <c r="E87" s="4" t="str">
        <f t="shared" ca="1" si="10"/>
        <v>EV</v>
      </c>
      <c r="F87" s="4">
        <f t="shared" ca="1" si="11"/>
        <v>4</v>
      </c>
      <c r="G87" s="8">
        <f t="shared" ca="1" si="12"/>
        <v>7059569</v>
      </c>
      <c r="H87" s="8">
        <f t="shared" ca="1" si="13"/>
        <v>28238276</v>
      </c>
      <c r="I87" s="8">
        <f t="shared" ca="1" si="14"/>
        <v>22308238.039999999</v>
      </c>
      <c r="J87" s="8">
        <f t="shared" ca="1" si="15"/>
        <v>5930037.9600000009</v>
      </c>
      <c r="K87" s="6">
        <f t="shared" ca="1" si="16"/>
        <v>0.21000000000000002</v>
      </c>
      <c r="L87" s="4" t="str" cm="1">
        <f t="array" aca="1" ref="L8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87" s="8">
        <f t="shared" ca="1" si="17"/>
        <v>12940</v>
      </c>
      <c r="N87" s="4" t="str" cm="1">
        <f t="array" aca="1" ref="N87" ca="1">INDEX({"New";"Repeat"}, RANDBETWEEN(1,2))</f>
        <v>New</v>
      </c>
      <c r="O87" s="4" t="str" cm="1">
        <f t="array" aca="1" ref="O87" ca="1">INDEX({"Loan";"Cash";"Lease"}, RANDBETWEEN(1,3))</f>
        <v>Lease</v>
      </c>
    </row>
    <row r="88" spans="1:15" x14ac:dyDescent="0.2">
      <c r="A88" s="4">
        <v>86</v>
      </c>
      <c r="B88" s="5">
        <f t="shared" ca="1" si="9"/>
        <v>45725</v>
      </c>
      <c r="C88" s="4" t="str" cm="1">
        <f t="array" aca="1" ref="C88" ca="1">INDEX({"Cochin";"Delhi";"Mumbai";"Pune";"Bengaluru"}, RANDBETWEEN(1,5))</f>
        <v>Mumbai</v>
      </c>
      <c r="D88" s="4" t="str" cm="1">
        <f t="array" aca="1" ref="D88" ca="1">INDEX({"C-Class";"E-Class";"S-Class";"GLA";"GLC";"GLE";"GLS";"EQB"}, RANDBETWEEN(1,8))</f>
        <v>GLS</v>
      </c>
      <c r="E88" s="4" t="str">
        <f t="shared" ca="1" si="10"/>
        <v>SUV</v>
      </c>
      <c r="F88" s="4">
        <f t="shared" ca="1" si="11"/>
        <v>3</v>
      </c>
      <c r="G88" s="8">
        <f t="shared" ca="1" si="12"/>
        <v>13069750</v>
      </c>
      <c r="H88" s="8">
        <f t="shared" ca="1" si="13"/>
        <v>39209250</v>
      </c>
      <c r="I88" s="8">
        <f t="shared" ca="1" si="14"/>
        <v>32935770</v>
      </c>
      <c r="J88" s="8">
        <f t="shared" ca="1" si="15"/>
        <v>6273480</v>
      </c>
      <c r="K88" s="6">
        <f t="shared" ca="1" si="16"/>
        <v>0.16</v>
      </c>
      <c r="L88" s="4" t="str" cm="1">
        <f t="array" aca="1" ref="L88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88" s="8">
        <f t="shared" ca="1" si="17"/>
        <v>14495</v>
      </c>
      <c r="N88" s="4" t="str" cm="1">
        <f t="array" aca="1" ref="N88" ca="1">INDEX({"New";"Repeat"}, RANDBETWEEN(1,2))</f>
        <v>New</v>
      </c>
      <c r="O88" s="4" t="str" cm="1">
        <f t="array" aca="1" ref="O88" ca="1">INDEX({"Loan";"Cash";"Lease"}, RANDBETWEEN(1,3))</f>
        <v>Lease</v>
      </c>
    </row>
    <row r="89" spans="1:15" x14ac:dyDescent="0.2">
      <c r="A89" s="4">
        <v>87</v>
      </c>
      <c r="B89" s="5">
        <f t="shared" ca="1" si="9"/>
        <v>45575</v>
      </c>
      <c r="C89" s="4" t="str" cm="1">
        <f t="array" aca="1" ref="C89" ca="1">INDEX({"Cochin";"Delhi";"Mumbai";"Pune";"Bengaluru"}, RANDBETWEEN(1,5))</f>
        <v>Mumbai</v>
      </c>
      <c r="D89" s="4" t="str" cm="1">
        <f t="array" aca="1" ref="D89" ca="1">INDEX({"C-Class";"E-Class";"S-Class";"GLA";"GLC";"GLE";"GLS";"EQB"}, RANDBETWEEN(1,8))</f>
        <v>C-Class</v>
      </c>
      <c r="E89" s="4" t="str">
        <f t="shared" ca="1" si="10"/>
        <v>Sedan</v>
      </c>
      <c r="F89" s="4">
        <f t="shared" ca="1" si="11"/>
        <v>4</v>
      </c>
      <c r="G89" s="8">
        <f t="shared" ca="1" si="12"/>
        <v>6954226</v>
      </c>
      <c r="H89" s="8">
        <f t="shared" ca="1" si="13"/>
        <v>27816904</v>
      </c>
      <c r="I89" s="8">
        <f t="shared" ca="1" si="14"/>
        <v>21419016.079999998</v>
      </c>
      <c r="J89" s="8">
        <f t="shared" ca="1" si="15"/>
        <v>6397887.9200000018</v>
      </c>
      <c r="K89" s="6">
        <f t="shared" ca="1" si="16"/>
        <v>0.23000000000000007</v>
      </c>
      <c r="L89" s="4" t="str" cm="1">
        <f t="array" aca="1" ref="L8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9" s="8">
        <f t="shared" ca="1" si="17"/>
        <v>17358</v>
      </c>
      <c r="N89" s="4" t="str" cm="1">
        <f t="array" aca="1" ref="N89" ca="1">INDEX({"New";"Repeat"}, RANDBETWEEN(1,2))</f>
        <v>New</v>
      </c>
      <c r="O89" s="4" t="str" cm="1">
        <f t="array" aca="1" ref="O89" ca="1">INDEX({"Loan";"Cash";"Lease"}, RANDBETWEEN(1,3))</f>
        <v>Lease</v>
      </c>
    </row>
    <row r="90" spans="1:15" x14ac:dyDescent="0.2">
      <c r="A90" s="4">
        <v>88</v>
      </c>
      <c r="B90" s="5">
        <f t="shared" ca="1" si="9"/>
        <v>45279</v>
      </c>
      <c r="C90" s="4" t="str" cm="1">
        <f t="array" aca="1" ref="C90" ca="1">INDEX({"Cochin";"Delhi";"Mumbai";"Pune";"Bengaluru"}, RANDBETWEEN(1,5))</f>
        <v>Pune</v>
      </c>
      <c r="D90" s="4" t="str" cm="1">
        <f t="array" aca="1" ref="D90" ca="1">INDEX({"C-Class";"E-Class";"S-Class";"GLA";"GLC";"GLE";"GLS";"EQB"}, RANDBETWEEN(1,8))</f>
        <v>GLA</v>
      </c>
      <c r="E90" s="4" t="str">
        <f t="shared" ca="1" si="10"/>
        <v>SUV</v>
      </c>
      <c r="F90" s="4">
        <f t="shared" ca="1" si="11"/>
        <v>2</v>
      </c>
      <c r="G90" s="8">
        <f t="shared" ca="1" si="12"/>
        <v>4668654</v>
      </c>
      <c r="H90" s="8">
        <f t="shared" ca="1" si="13"/>
        <v>9337308</v>
      </c>
      <c r="I90" s="8">
        <f t="shared" ca="1" si="14"/>
        <v>6722861.7599999998</v>
      </c>
      <c r="J90" s="8">
        <f t="shared" ca="1" si="15"/>
        <v>2614446.2400000002</v>
      </c>
      <c r="K90" s="6">
        <f t="shared" ca="1" si="16"/>
        <v>0.28000000000000003</v>
      </c>
      <c r="L90" s="4" t="str" cm="1">
        <f t="array" aca="1" ref="L9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0" s="8">
        <f t="shared" ca="1" si="17"/>
        <v>5029</v>
      </c>
      <c r="N90" s="4" t="str" cm="1">
        <f t="array" aca="1" ref="N90" ca="1">INDEX({"New";"Repeat"}, RANDBETWEEN(1,2))</f>
        <v>Repeat</v>
      </c>
      <c r="O90" s="4" t="str" cm="1">
        <f t="array" aca="1" ref="O90" ca="1">INDEX({"Loan";"Cash";"Lease"}, RANDBETWEEN(1,3))</f>
        <v>Cash</v>
      </c>
    </row>
    <row r="91" spans="1:15" x14ac:dyDescent="0.2">
      <c r="A91" s="4">
        <v>89</v>
      </c>
      <c r="B91" s="5">
        <f t="shared" ca="1" si="9"/>
        <v>45549</v>
      </c>
      <c r="C91" s="4" t="str" cm="1">
        <f t="array" aca="1" ref="C91" ca="1">INDEX({"Cochin";"Delhi";"Mumbai";"Pune";"Bengaluru"}, RANDBETWEEN(1,5))</f>
        <v>Mumbai</v>
      </c>
      <c r="D91" s="4" t="str" cm="1">
        <f t="array" aca="1" ref="D91" ca="1">INDEX({"C-Class";"E-Class";"S-Class";"GLA";"GLC";"GLE";"GLS";"EQB"}, RANDBETWEEN(1,8))</f>
        <v>EQB</v>
      </c>
      <c r="E91" s="4" t="str">
        <f t="shared" ca="1" si="10"/>
        <v>EV</v>
      </c>
      <c r="F91" s="4">
        <f t="shared" ca="1" si="11"/>
        <v>4</v>
      </c>
      <c r="G91" s="8">
        <f t="shared" ca="1" si="12"/>
        <v>7551273</v>
      </c>
      <c r="H91" s="8">
        <f t="shared" ca="1" si="13"/>
        <v>30205092</v>
      </c>
      <c r="I91" s="8">
        <f t="shared" ca="1" si="14"/>
        <v>22955869.920000002</v>
      </c>
      <c r="J91" s="8">
        <f t="shared" ca="1" si="15"/>
        <v>7249222.0799999982</v>
      </c>
      <c r="K91" s="6">
        <f t="shared" ca="1" si="16"/>
        <v>0.23999999999999994</v>
      </c>
      <c r="L91" s="4" t="str" cm="1">
        <f t="array" aca="1" ref="L9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1" s="8">
        <f t="shared" ca="1" si="17"/>
        <v>20255</v>
      </c>
      <c r="N91" s="4" t="str" cm="1">
        <f t="array" aca="1" ref="N91" ca="1">INDEX({"New";"Repeat"}, RANDBETWEEN(1,2))</f>
        <v>New</v>
      </c>
      <c r="O91" s="4" t="str" cm="1">
        <f t="array" aca="1" ref="O91" ca="1">INDEX({"Loan";"Cash";"Lease"}, RANDBETWEEN(1,3))</f>
        <v>Loan</v>
      </c>
    </row>
    <row r="92" spans="1:15" x14ac:dyDescent="0.2">
      <c r="A92" s="4">
        <v>90</v>
      </c>
      <c r="B92" s="5">
        <f t="shared" ca="1" si="9"/>
        <v>45732</v>
      </c>
      <c r="C92" s="4" t="str" cm="1">
        <f t="array" aca="1" ref="C92" ca="1">INDEX({"Cochin";"Delhi";"Mumbai";"Pune";"Bengaluru"}, RANDBETWEEN(1,5))</f>
        <v>Delhi</v>
      </c>
      <c r="D92" s="4" t="str" cm="1">
        <f t="array" aca="1" ref="D92" ca="1">INDEX({"C-Class";"E-Class";"S-Class";"GLA";"GLC";"GLE";"GLS";"EQB"}, RANDBETWEEN(1,8))</f>
        <v>GLA</v>
      </c>
      <c r="E92" s="4" t="str">
        <f t="shared" ca="1" si="10"/>
        <v>SUV</v>
      </c>
      <c r="F92" s="4">
        <f t="shared" ca="1" si="11"/>
        <v>1</v>
      </c>
      <c r="G92" s="8">
        <f t="shared" ca="1" si="12"/>
        <v>4917052</v>
      </c>
      <c r="H92" s="8">
        <f t="shared" ca="1" si="13"/>
        <v>4917052</v>
      </c>
      <c r="I92" s="8">
        <f t="shared" ca="1" si="14"/>
        <v>3835300.56</v>
      </c>
      <c r="J92" s="8">
        <f t="shared" ca="1" si="15"/>
        <v>1081751.44</v>
      </c>
      <c r="K92" s="6">
        <f t="shared" ca="1" si="16"/>
        <v>0.22</v>
      </c>
      <c r="L92" s="4" t="str" cm="1">
        <f t="array" aca="1" ref="L9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2" s="8">
        <f t="shared" ca="1" si="17"/>
        <v>22559</v>
      </c>
      <c r="N92" s="4" t="str" cm="1">
        <f t="array" aca="1" ref="N92" ca="1">INDEX({"New";"Repeat"}, RANDBETWEEN(1,2))</f>
        <v>New</v>
      </c>
      <c r="O92" s="4" t="str" cm="1">
        <f t="array" aca="1" ref="O92" ca="1">INDEX({"Loan";"Cash";"Lease"}, RANDBETWEEN(1,3))</f>
        <v>Loan</v>
      </c>
    </row>
    <row r="93" spans="1:15" x14ac:dyDescent="0.2">
      <c r="A93" s="4">
        <v>91</v>
      </c>
      <c r="B93" s="5">
        <f t="shared" ca="1" si="9"/>
        <v>45440</v>
      </c>
      <c r="C93" s="4" t="str" cm="1">
        <f t="array" aca="1" ref="C93" ca="1">INDEX({"Cochin";"Delhi";"Mumbai";"Pune";"Bengaluru"}, RANDBETWEEN(1,5))</f>
        <v>Mumbai</v>
      </c>
      <c r="D93" s="4" t="str" cm="1">
        <f t="array" aca="1" ref="D93" ca="1">INDEX({"C-Class";"E-Class";"S-Class";"GLA";"GLC";"GLE";"GLS";"EQB"}, RANDBETWEEN(1,8))</f>
        <v>GLC</v>
      </c>
      <c r="E93" s="4" t="str">
        <f t="shared" ca="1" si="10"/>
        <v>SUV</v>
      </c>
      <c r="F93" s="4">
        <f t="shared" ca="1" si="11"/>
        <v>2</v>
      </c>
      <c r="G93" s="8">
        <f t="shared" ca="1" si="12"/>
        <v>6805873</v>
      </c>
      <c r="H93" s="8">
        <f t="shared" ca="1" si="13"/>
        <v>13611746</v>
      </c>
      <c r="I93" s="8">
        <f t="shared" ca="1" si="14"/>
        <v>9664339.6600000001</v>
      </c>
      <c r="J93" s="8">
        <f t="shared" ca="1" si="15"/>
        <v>3947406.34</v>
      </c>
      <c r="K93" s="6">
        <f t="shared" ca="1" si="16"/>
        <v>0.28999999999999998</v>
      </c>
      <c r="L93" s="4" t="str" cm="1">
        <f t="array" aca="1" ref="L9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93" s="8">
        <f t="shared" ca="1" si="17"/>
        <v>7744</v>
      </c>
      <c r="N93" s="4" t="str" cm="1">
        <f t="array" aca="1" ref="N93" ca="1">INDEX({"New";"Repeat"}, RANDBETWEEN(1,2))</f>
        <v>Repeat</v>
      </c>
      <c r="O93" s="4" t="str" cm="1">
        <f t="array" aca="1" ref="O93" ca="1">INDEX({"Loan";"Cash";"Lease"}, RANDBETWEEN(1,3))</f>
        <v>Loan</v>
      </c>
    </row>
    <row r="94" spans="1:15" x14ac:dyDescent="0.2">
      <c r="A94" s="4">
        <v>92</v>
      </c>
      <c r="B94" s="5">
        <f t="shared" ca="1" si="9"/>
        <v>45573</v>
      </c>
      <c r="C94" s="4" t="str" cm="1">
        <f t="array" aca="1" ref="C94" ca="1">INDEX({"Cochin";"Delhi";"Mumbai";"Pune";"Bengaluru"}, RANDBETWEEN(1,5))</f>
        <v>Pune</v>
      </c>
      <c r="D94" s="4" t="str" cm="1">
        <f t="array" aca="1" ref="D94" ca="1">INDEX({"C-Class";"E-Class";"S-Class";"GLA";"GLC";"GLE";"GLS";"EQB"}, RANDBETWEEN(1,8))</f>
        <v>E-Class</v>
      </c>
      <c r="E94" s="4" t="str">
        <f t="shared" ca="1" si="10"/>
        <v>Sedan</v>
      </c>
      <c r="F94" s="4">
        <f t="shared" ca="1" si="11"/>
        <v>5</v>
      </c>
      <c r="G94" s="8">
        <f t="shared" ca="1" si="12"/>
        <v>9482337</v>
      </c>
      <c r="H94" s="8">
        <f t="shared" ca="1" si="13"/>
        <v>47411685</v>
      </c>
      <c r="I94" s="8">
        <f t="shared" ca="1" si="14"/>
        <v>38403464.850000001</v>
      </c>
      <c r="J94" s="8">
        <f t="shared" ca="1" si="15"/>
        <v>9008220.1499999985</v>
      </c>
      <c r="K94" s="6">
        <f t="shared" ca="1" si="16"/>
        <v>0.18999999999999997</v>
      </c>
      <c r="L94" s="4" t="str" cm="1">
        <f t="array" aca="1" ref="L9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4" s="8">
        <f t="shared" ca="1" si="17"/>
        <v>6599</v>
      </c>
      <c r="N94" s="4" t="str" cm="1">
        <f t="array" aca="1" ref="N94" ca="1">INDEX({"New";"Repeat"}, RANDBETWEEN(1,2))</f>
        <v>Repeat</v>
      </c>
      <c r="O94" s="4" t="str" cm="1">
        <f t="array" aca="1" ref="O94" ca="1">INDEX({"Loan";"Cash";"Lease"}, RANDBETWEEN(1,3))</f>
        <v>Cash</v>
      </c>
    </row>
    <row r="95" spans="1:15" x14ac:dyDescent="0.2">
      <c r="A95" s="4">
        <v>93</v>
      </c>
      <c r="B95" s="5">
        <f t="shared" ca="1" si="9"/>
        <v>44972</v>
      </c>
      <c r="C95" s="4" t="str" cm="1">
        <f t="array" aca="1" ref="C95" ca="1">INDEX({"Cochin";"Delhi";"Mumbai";"Pune";"Bengaluru"}, RANDBETWEEN(1,5))</f>
        <v>Delhi</v>
      </c>
      <c r="D95" s="4" t="str" cm="1">
        <f t="array" aca="1" ref="D95" ca="1">INDEX({"C-Class";"E-Class";"S-Class";"GLA";"GLC";"GLE";"GLS";"EQB"}, RANDBETWEEN(1,8))</f>
        <v>C-Class</v>
      </c>
      <c r="E95" s="4" t="str">
        <f t="shared" ca="1" si="10"/>
        <v>Sedan</v>
      </c>
      <c r="F95" s="4">
        <f t="shared" ca="1" si="11"/>
        <v>2</v>
      </c>
      <c r="G95" s="8">
        <f t="shared" ca="1" si="12"/>
        <v>5742633</v>
      </c>
      <c r="H95" s="8">
        <f t="shared" ca="1" si="13"/>
        <v>11485266</v>
      </c>
      <c r="I95" s="8">
        <f t="shared" ca="1" si="14"/>
        <v>9532770.7799999993</v>
      </c>
      <c r="J95" s="8">
        <f t="shared" ca="1" si="15"/>
        <v>1952495.2200000007</v>
      </c>
      <c r="K95" s="6">
        <f t="shared" ca="1" si="16"/>
        <v>0.17000000000000007</v>
      </c>
      <c r="L95" s="4" t="str" cm="1">
        <f t="array" aca="1" ref="L9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5" s="8">
        <f t="shared" ca="1" si="17"/>
        <v>5681</v>
      </c>
      <c r="N95" s="4" t="str" cm="1">
        <f t="array" aca="1" ref="N95" ca="1">INDEX({"New";"Repeat"}, RANDBETWEEN(1,2))</f>
        <v>Repeat</v>
      </c>
      <c r="O95" s="4" t="str" cm="1">
        <f t="array" aca="1" ref="O95" ca="1">INDEX({"Loan";"Cash";"Lease"}, RANDBETWEEN(1,3))</f>
        <v>Cash</v>
      </c>
    </row>
    <row r="96" spans="1:15" x14ac:dyDescent="0.2">
      <c r="A96" s="4">
        <v>94</v>
      </c>
      <c r="B96" s="5">
        <f t="shared" ca="1" si="9"/>
        <v>45194</v>
      </c>
      <c r="C96" s="4" t="str" cm="1">
        <f t="array" aca="1" ref="C96" ca="1">INDEX({"Cochin";"Delhi";"Mumbai";"Pune";"Bengaluru"}, RANDBETWEEN(1,5))</f>
        <v>Bengaluru</v>
      </c>
      <c r="D96" s="4" t="str" cm="1">
        <f t="array" aca="1" ref="D96" ca="1">INDEX({"C-Class";"E-Class";"S-Class";"GLA";"GLC";"GLE";"GLS";"EQB"}, RANDBETWEEN(1,8))</f>
        <v>GLE</v>
      </c>
      <c r="E96" s="4" t="str">
        <f t="shared" ca="1" si="10"/>
        <v>SUV</v>
      </c>
      <c r="F96" s="4">
        <f t="shared" ca="1" si="11"/>
        <v>2</v>
      </c>
      <c r="G96" s="8">
        <f t="shared" ca="1" si="12"/>
        <v>12109999</v>
      </c>
      <c r="H96" s="8">
        <f t="shared" ca="1" si="13"/>
        <v>24219998</v>
      </c>
      <c r="I96" s="8">
        <f t="shared" ca="1" si="14"/>
        <v>20586998.300000001</v>
      </c>
      <c r="J96" s="8">
        <f t="shared" ca="1" si="15"/>
        <v>3632999.6999999993</v>
      </c>
      <c r="K96" s="6">
        <f t="shared" ca="1" si="16"/>
        <v>0.14999999999999997</v>
      </c>
      <c r="L96" s="4" t="str" cm="1">
        <f t="array" aca="1" ref="L9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96" s="8">
        <f t="shared" ca="1" si="17"/>
        <v>3067</v>
      </c>
      <c r="N96" s="4" t="str" cm="1">
        <f t="array" aca="1" ref="N96" ca="1">INDEX({"New";"Repeat"}, RANDBETWEEN(1,2))</f>
        <v>Repeat</v>
      </c>
      <c r="O96" s="4" t="str" cm="1">
        <f t="array" aca="1" ref="O96" ca="1">INDEX({"Loan";"Cash";"Lease"}, RANDBETWEEN(1,3))</f>
        <v>Loan</v>
      </c>
    </row>
    <row r="97" spans="1:15" x14ac:dyDescent="0.2">
      <c r="A97" s="4">
        <v>95</v>
      </c>
      <c r="B97" s="5">
        <f t="shared" ca="1" si="9"/>
        <v>45769</v>
      </c>
      <c r="C97" s="4" t="str" cm="1">
        <f t="array" aca="1" ref="C97" ca="1">INDEX({"Cochin";"Delhi";"Mumbai";"Pune";"Bengaluru"}, RANDBETWEEN(1,5))</f>
        <v>Bengaluru</v>
      </c>
      <c r="D97" s="4" t="str" cm="1">
        <f t="array" aca="1" ref="D97" ca="1">INDEX({"C-Class";"E-Class";"S-Class";"GLA";"GLC";"GLE";"GLS";"EQB"}, RANDBETWEEN(1,8))</f>
        <v>GLC</v>
      </c>
      <c r="E97" s="4" t="str">
        <f t="shared" ca="1" si="10"/>
        <v>SUV</v>
      </c>
      <c r="F97" s="4">
        <f t="shared" ca="1" si="11"/>
        <v>1</v>
      </c>
      <c r="G97" s="8">
        <f t="shared" ca="1" si="12"/>
        <v>6899414</v>
      </c>
      <c r="H97" s="8">
        <f t="shared" ca="1" si="13"/>
        <v>6899414</v>
      </c>
      <c r="I97" s="8">
        <f t="shared" ca="1" si="14"/>
        <v>5174560.5</v>
      </c>
      <c r="J97" s="8">
        <f t="shared" ca="1" si="15"/>
        <v>1724853.5</v>
      </c>
      <c r="K97" s="6">
        <f t="shared" ca="1" si="16"/>
        <v>0.25</v>
      </c>
      <c r="L97" s="4" t="str" cm="1">
        <f t="array" aca="1" ref="L9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7" s="8">
        <f t="shared" ca="1" si="17"/>
        <v>3767</v>
      </c>
      <c r="N97" s="4" t="str" cm="1">
        <f t="array" aca="1" ref="N97" ca="1">INDEX({"New";"Repeat"}, RANDBETWEEN(1,2))</f>
        <v>Repeat</v>
      </c>
      <c r="O97" s="4" t="str" cm="1">
        <f t="array" aca="1" ref="O97" ca="1">INDEX({"Loan";"Cash";"Lease"}, RANDBETWEEN(1,3))</f>
        <v>Cash</v>
      </c>
    </row>
    <row r="98" spans="1:15" x14ac:dyDescent="0.2">
      <c r="A98" s="4">
        <v>96</v>
      </c>
      <c r="B98" s="5">
        <f t="shared" ca="1" si="9"/>
        <v>45055</v>
      </c>
      <c r="C98" s="4" t="str" cm="1">
        <f t="array" aca="1" ref="C98" ca="1">INDEX({"Cochin";"Delhi";"Mumbai";"Pune";"Bengaluru"}, RANDBETWEEN(1,5))</f>
        <v>Delhi</v>
      </c>
      <c r="D98" s="4" t="str" cm="1">
        <f t="array" aca="1" ref="D98" ca="1">INDEX({"C-Class";"E-Class";"S-Class";"GLA";"GLC";"GLE";"GLS";"EQB"}, RANDBETWEEN(1,8))</f>
        <v>E-Class</v>
      </c>
      <c r="E98" s="4" t="str">
        <f t="shared" ca="1" si="10"/>
        <v>Sedan</v>
      </c>
      <c r="F98" s="4">
        <f t="shared" ca="1" si="11"/>
        <v>1</v>
      </c>
      <c r="G98" s="8">
        <f t="shared" ca="1" si="12"/>
        <v>7905040</v>
      </c>
      <c r="H98" s="8">
        <f t="shared" ca="1" si="13"/>
        <v>7905040</v>
      </c>
      <c r="I98" s="8">
        <f t="shared" ca="1" si="14"/>
        <v>5849729.5999999996</v>
      </c>
      <c r="J98" s="8">
        <f t="shared" ca="1" si="15"/>
        <v>2055310.4000000004</v>
      </c>
      <c r="K98" s="6">
        <f t="shared" ca="1" si="16"/>
        <v>0.26000000000000006</v>
      </c>
      <c r="L98" s="4" t="str" cm="1">
        <f t="array" aca="1" ref="L98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8" s="8">
        <f t="shared" ca="1" si="17"/>
        <v>5689</v>
      </c>
      <c r="N98" s="4" t="str" cm="1">
        <f t="array" aca="1" ref="N98" ca="1">INDEX({"New";"Repeat"}, RANDBETWEEN(1,2))</f>
        <v>Repeat</v>
      </c>
      <c r="O98" s="4" t="str" cm="1">
        <f t="array" aca="1" ref="O98" ca="1">INDEX({"Loan";"Cash";"Lease"}, RANDBETWEEN(1,3))</f>
        <v>Lease</v>
      </c>
    </row>
    <row r="99" spans="1:15" x14ac:dyDescent="0.2">
      <c r="A99" s="4">
        <v>97</v>
      </c>
      <c r="B99" s="5">
        <f t="shared" ca="1" si="9"/>
        <v>45808</v>
      </c>
      <c r="C99" s="4" t="str" cm="1">
        <f t="array" aca="1" ref="C99" ca="1">INDEX({"Cochin";"Delhi";"Mumbai";"Pune";"Bengaluru"}, RANDBETWEEN(1,5))</f>
        <v>Pune</v>
      </c>
      <c r="D99" s="4" t="str" cm="1">
        <f t="array" aca="1" ref="D99" ca="1">INDEX({"C-Class";"E-Class";"S-Class";"GLA";"GLC";"GLE";"GLS";"EQB"}, RANDBETWEEN(1,8))</f>
        <v>E-Class</v>
      </c>
      <c r="E99" s="4" t="str">
        <f t="shared" ca="1" si="10"/>
        <v>Sedan</v>
      </c>
      <c r="F99" s="4">
        <f t="shared" ca="1" si="11"/>
        <v>2</v>
      </c>
      <c r="G99" s="8">
        <f t="shared" ca="1" si="12"/>
        <v>8762083</v>
      </c>
      <c r="H99" s="8">
        <f t="shared" ca="1" si="13"/>
        <v>17524166</v>
      </c>
      <c r="I99" s="8">
        <f t="shared" ca="1" si="14"/>
        <v>13143124.5</v>
      </c>
      <c r="J99" s="8">
        <f t="shared" ca="1" si="15"/>
        <v>4381041.5</v>
      </c>
      <c r="K99" s="6">
        <f t="shared" ca="1" si="16"/>
        <v>0.25</v>
      </c>
      <c r="L99" s="4" t="str" cm="1">
        <f t="array" aca="1" ref="L9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9" s="8">
        <f t="shared" ca="1" si="17"/>
        <v>16888</v>
      </c>
      <c r="N99" s="4" t="str" cm="1">
        <f t="array" aca="1" ref="N99" ca="1">INDEX({"New";"Repeat"}, RANDBETWEEN(1,2))</f>
        <v>New</v>
      </c>
      <c r="O99" s="4" t="str" cm="1">
        <f t="array" aca="1" ref="O99" ca="1">INDEX({"Loan";"Cash";"Lease"}, RANDBETWEEN(1,3))</f>
        <v>Cash</v>
      </c>
    </row>
    <row r="100" spans="1:15" x14ac:dyDescent="0.2">
      <c r="A100" s="4">
        <v>98</v>
      </c>
      <c r="B100" s="5">
        <f t="shared" ca="1" si="9"/>
        <v>45090</v>
      </c>
      <c r="C100" s="4" t="str" cm="1">
        <f t="array" aca="1" ref="C100" ca="1">INDEX({"Cochin";"Delhi";"Mumbai";"Pune";"Bengaluru"}, RANDBETWEEN(1,5))</f>
        <v>Mumbai</v>
      </c>
      <c r="D100" s="4" t="str" cm="1">
        <f t="array" aca="1" ref="D100" ca="1">INDEX({"C-Class";"E-Class";"S-Class";"GLA";"GLC";"GLE";"GLS";"EQB"}, RANDBETWEEN(1,8))</f>
        <v>GLC</v>
      </c>
      <c r="E100" s="4" t="str">
        <f t="shared" ca="1" si="10"/>
        <v>SUV</v>
      </c>
      <c r="F100" s="4">
        <f t="shared" ca="1" si="11"/>
        <v>5</v>
      </c>
      <c r="G100" s="8">
        <f t="shared" ca="1" si="12"/>
        <v>6796949</v>
      </c>
      <c r="H100" s="8">
        <f t="shared" ca="1" si="13"/>
        <v>33984745</v>
      </c>
      <c r="I100" s="8">
        <f t="shared" ca="1" si="14"/>
        <v>23789321.5</v>
      </c>
      <c r="J100" s="8">
        <f t="shared" ca="1" si="15"/>
        <v>10195423.5</v>
      </c>
      <c r="K100" s="6">
        <f t="shared" ca="1" si="16"/>
        <v>0.3</v>
      </c>
      <c r="L100" s="4" t="str" cm="1">
        <f t="array" aca="1" ref="L10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00" s="8">
        <f t="shared" ca="1" si="17"/>
        <v>4026</v>
      </c>
      <c r="N100" s="4" t="str" cm="1">
        <f t="array" aca="1" ref="N100" ca="1">INDEX({"New";"Repeat"}, RANDBETWEEN(1,2))</f>
        <v>Repeat</v>
      </c>
      <c r="O100" s="4" t="str" cm="1">
        <f t="array" aca="1" ref="O100" ca="1">INDEX({"Loan";"Cash";"Lease"}, RANDBETWEEN(1,3))</f>
        <v>Cash</v>
      </c>
    </row>
    <row r="101" spans="1:15" x14ac:dyDescent="0.2">
      <c r="A101" s="4">
        <v>99</v>
      </c>
      <c r="B101" s="5">
        <f t="shared" ca="1" si="9"/>
        <v>45846</v>
      </c>
      <c r="C101" s="4" t="str" cm="1">
        <f t="array" aca="1" ref="C101" ca="1">INDEX({"Cochin";"Delhi";"Mumbai";"Pune";"Bengaluru"}, RANDBETWEEN(1,5))</f>
        <v>Bengaluru</v>
      </c>
      <c r="D101" s="4" t="str" cm="1">
        <f t="array" aca="1" ref="D101" ca="1">INDEX({"C-Class";"E-Class";"S-Class";"GLA";"GLC";"GLE";"GLS";"EQB"}, RANDBETWEEN(1,8))</f>
        <v>E-Class</v>
      </c>
      <c r="E101" s="4" t="str">
        <f t="shared" ca="1" si="10"/>
        <v>Sedan</v>
      </c>
      <c r="F101" s="4">
        <f t="shared" ca="1" si="11"/>
        <v>1</v>
      </c>
      <c r="G101" s="8">
        <f t="shared" ca="1" si="12"/>
        <v>7877184</v>
      </c>
      <c r="H101" s="8">
        <f t="shared" ca="1" si="13"/>
        <v>7877184</v>
      </c>
      <c r="I101" s="8">
        <f t="shared" ca="1" si="14"/>
        <v>6695606.4000000004</v>
      </c>
      <c r="J101" s="8">
        <f t="shared" ca="1" si="15"/>
        <v>1181577.5999999996</v>
      </c>
      <c r="K101" s="6">
        <f t="shared" ca="1" si="16"/>
        <v>0.14999999999999994</v>
      </c>
      <c r="L101" s="4" t="str" cm="1">
        <f t="array" aca="1" ref="L101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01" s="8">
        <f t="shared" ca="1" si="17"/>
        <v>5253</v>
      </c>
      <c r="N101" s="4" t="str" cm="1">
        <f t="array" aca="1" ref="N101" ca="1">INDEX({"New";"Repeat"}, RANDBETWEEN(1,2))</f>
        <v>Repeat</v>
      </c>
      <c r="O101" s="4" t="str" cm="1">
        <f t="array" aca="1" ref="O101" ca="1">INDEX({"Loan";"Cash";"Lease"}, RANDBETWEEN(1,3))</f>
        <v>Cash</v>
      </c>
    </row>
    <row r="102" spans="1:15" x14ac:dyDescent="0.2">
      <c r="A102" s="4">
        <v>100</v>
      </c>
      <c r="B102" s="5">
        <f t="shared" ca="1" si="9"/>
        <v>44949</v>
      </c>
      <c r="C102" s="4" t="str" cm="1">
        <f t="array" aca="1" ref="C102" ca="1">INDEX({"Cochin";"Delhi";"Mumbai";"Pune";"Bengaluru"}, RANDBETWEEN(1,5))</f>
        <v>Cochin</v>
      </c>
      <c r="D102" s="4" t="str" cm="1">
        <f t="array" aca="1" ref="D102" ca="1">INDEX({"C-Class";"E-Class";"S-Class";"GLA";"GLC";"GLE";"GLS";"EQB"}, RANDBETWEEN(1,8))</f>
        <v>S-Class</v>
      </c>
      <c r="E102" s="4" t="str">
        <f t="shared" ca="1" si="10"/>
        <v>Sedan</v>
      </c>
      <c r="F102" s="4">
        <f t="shared" ca="1" si="11"/>
        <v>3</v>
      </c>
      <c r="G102" s="8">
        <f t="shared" ca="1" si="12"/>
        <v>23183821</v>
      </c>
      <c r="H102" s="8">
        <f t="shared" ca="1" si="13"/>
        <v>69551463</v>
      </c>
      <c r="I102" s="8">
        <f t="shared" ca="1" si="14"/>
        <v>55641170.399999999</v>
      </c>
      <c r="J102" s="8">
        <f t="shared" ca="1" si="15"/>
        <v>13910292.600000001</v>
      </c>
      <c r="K102" s="6">
        <f t="shared" ca="1" si="16"/>
        <v>0.2</v>
      </c>
      <c r="L102" s="4" t="str" cm="1">
        <f t="array" aca="1" ref="L10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02" s="8">
        <f t="shared" ca="1" si="17"/>
        <v>13664</v>
      </c>
      <c r="N102" s="4" t="str" cm="1">
        <f t="array" aca="1" ref="N102" ca="1">INDEX({"New";"Repeat"}, RANDBETWEEN(1,2))</f>
        <v>New</v>
      </c>
      <c r="O102" s="4" t="str" cm="1">
        <f t="array" aca="1" ref="O102" ca="1">INDEX({"Loan";"Cash";"Lease"}, RANDBETWEEN(1,3))</f>
        <v>Cash</v>
      </c>
    </row>
    <row r="103" spans="1:15" x14ac:dyDescent="0.2">
      <c r="A103" s="4">
        <v>101</v>
      </c>
      <c r="B103" s="5">
        <f t="shared" ca="1" si="9"/>
        <v>45609</v>
      </c>
      <c r="C103" s="4" t="str" cm="1">
        <f t="array" aca="1" ref="C103" ca="1">INDEX({"Cochin";"Delhi";"Mumbai";"Pune";"Bengaluru"}, RANDBETWEEN(1,5))</f>
        <v>Mumbai</v>
      </c>
      <c r="D103" s="4" t="str" cm="1">
        <f t="array" aca="1" ref="D103" ca="1">INDEX({"C-Class";"E-Class";"S-Class";"GLA";"GLC";"GLE";"GLS";"EQB"}, RANDBETWEEN(1,8))</f>
        <v>GLC</v>
      </c>
      <c r="E103" s="4" t="str">
        <f t="shared" ca="1" si="10"/>
        <v>SUV</v>
      </c>
      <c r="F103" s="4">
        <f t="shared" ca="1" si="11"/>
        <v>1</v>
      </c>
      <c r="G103" s="8">
        <f t="shared" ca="1" si="12"/>
        <v>6713342</v>
      </c>
      <c r="H103" s="8">
        <f t="shared" ca="1" si="13"/>
        <v>6713342</v>
      </c>
      <c r="I103" s="8">
        <f t="shared" ca="1" si="14"/>
        <v>4900739.66</v>
      </c>
      <c r="J103" s="8">
        <f t="shared" ca="1" si="15"/>
        <v>1812602.3399999999</v>
      </c>
      <c r="K103" s="6">
        <f t="shared" ca="1" si="16"/>
        <v>0.26999999999999996</v>
      </c>
      <c r="L103" s="4" t="str" cm="1">
        <f t="array" aca="1" ref="L10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03" s="8">
        <f t="shared" ca="1" si="17"/>
        <v>3840</v>
      </c>
      <c r="N103" s="4" t="str" cm="1">
        <f t="array" aca="1" ref="N103" ca="1">INDEX({"New";"Repeat"}, RANDBETWEEN(1,2))</f>
        <v>Repeat</v>
      </c>
      <c r="O103" s="4" t="str" cm="1">
        <f t="array" aca="1" ref="O103" ca="1">INDEX({"Loan";"Cash";"Lease"}, RANDBETWEEN(1,3))</f>
        <v>Lease</v>
      </c>
    </row>
    <row r="104" spans="1:15" x14ac:dyDescent="0.2">
      <c r="A104" s="4">
        <v>102</v>
      </c>
      <c r="B104" s="5">
        <f t="shared" ca="1" si="9"/>
        <v>45484</v>
      </c>
      <c r="C104" s="4" t="str" cm="1">
        <f t="array" aca="1" ref="C104" ca="1">INDEX({"Cochin";"Delhi";"Mumbai";"Pune";"Bengaluru"}, RANDBETWEEN(1,5))</f>
        <v>Delhi</v>
      </c>
      <c r="D104" s="4" t="str" cm="1">
        <f t="array" aca="1" ref="D104" ca="1">INDEX({"C-Class";"E-Class";"S-Class";"GLA";"GLC";"GLE";"GLS";"EQB"}, RANDBETWEEN(1,8))</f>
        <v>E-Class</v>
      </c>
      <c r="E104" s="4" t="str">
        <f t="shared" ca="1" si="10"/>
        <v>Sedan</v>
      </c>
      <c r="F104" s="4">
        <f t="shared" ca="1" si="11"/>
        <v>2</v>
      </c>
      <c r="G104" s="8">
        <f t="shared" ca="1" si="12"/>
        <v>9323689</v>
      </c>
      <c r="H104" s="8">
        <f t="shared" ca="1" si="13"/>
        <v>18647378</v>
      </c>
      <c r="I104" s="8">
        <f t="shared" ca="1" si="14"/>
        <v>14544954.84</v>
      </c>
      <c r="J104" s="8">
        <f t="shared" ca="1" si="15"/>
        <v>4102423.16</v>
      </c>
      <c r="K104" s="6">
        <f t="shared" ca="1" si="16"/>
        <v>0.22</v>
      </c>
      <c r="L104" s="4" t="str" cm="1">
        <f t="array" aca="1" ref="L10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04" s="8">
        <f t="shared" ca="1" si="17"/>
        <v>24539</v>
      </c>
      <c r="N104" s="4" t="str" cm="1">
        <f t="array" aca="1" ref="N104" ca="1">INDEX({"New";"Repeat"}, RANDBETWEEN(1,2))</f>
        <v>New</v>
      </c>
      <c r="O104" s="4" t="str" cm="1">
        <f t="array" aca="1" ref="O104" ca="1">INDEX({"Loan";"Cash";"Lease"}, RANDBETWEEN(1,3))</f>
        <v>Loan</v>
      </c>
    </row>
    <row r="105" spans="1:15" x14ac:dyDescent="0.2">
      <c r="A105" s="4">
        <v>103</v>
      </c>
      <c r="B105" s="5">
        <f t="shared" ca="1" si="9"/>
        <v>45801</v>
      </c>
      <c r="C105" s="4" t="str" cm="1">
        <f t="array" aca="1" ref="C105" ca="1">INDEX({"Cochin";"Delhi";"Mumbai";"Pune";"Bengaluru"}, RANDBETWEEN(1,5))</f>
        <v>Cochin</v>
      </c>
      <c r="D105" s="4" t="str" cm="1">
        <f t="array" aca="1" ref="D105" ca="1">INDEX({"C-Class";"E-Class";"S-Class";"GLA";"GLC";"GLE";"GLS";"EQB"}, RANDBETWEEN(1,8))</f>
        <v>E-Class</v>
      </c>
      <c r="E105" s="4" t="str">
        <f t="shared" ca="1" si="10"/>
        <v>Sedan</v>
      </c>
      <c r="F105" s="4">
        <f t="shared" ca="1" si="11"/>
        <v>1</v>
      </c>
      <c r="G105" s="8">
        <f t="shared" ca="1" si="12"/>
        <v>7590645</v>
      </c>
      <c r="H105" s="8">
        <f t="shared" ca="1" si="13"/>
        <v>7590645</v>
      </c>
      <c r="I105" s="8">
        <f t="shared" ca="1" si="14"/>
        <v>6452048.25</v>
      </c>
      <c r="J105" s="8">
        <f t="shared" ca="1" si="15"/>
        <v>1138596.75</v>
      </c>
      <c r="K105" s="6">
        <f t="shared" ca="1" si="16"/>
        <v>0.15</v>
      </c>
      <c r="L105" s="4" t="str" cm="1">
        <f t="array" aca="1" ref="L10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05" s="8">
        <f t="shared" ca="1" si="17"/>
        <v>22963</v>
      </c>
      <c r="N105" s="4" t="str" cm="1">
        <f t="array" aca="1" ref="N105" ca="1">INDEX({"New";"Repeat"}, RANDBETWEEN(1,2))</f>
        <v>New</v>
      </c>
      <c r="O105" s="4" t="str" cm="1">
        <f t="array" aca="1" ref="O105" ca="1">INDEX({"Loan";"Cash";"Lease"}, RANDBETWEEN(1,3))</f>
        <v>Loan</v>
      </c>
    </row>
    <row r="106" spans="1:15" x14ac:dyDescent="0.2">
      <c r="A106" s="4">
        <v>104</v>
      </c>
      <c r="B106" s="5">
        <f t="shared" ca="1" si="9"/>
        <v>45333</v>
      </c>
      <c r="C106" s="4" t="str" cm="1">
        <f t="array" aca="1" ref="C106" ca="1">INDEX({"Cochin";"Delhi";"Mumbai";"Pune";"Bengaluru"}, RANDBETWEEN(1,5))</f>
        <v>Delhi</v>
      </c>
      <c r="D106" s="4" t="str" cm="1">
        <f t="array" aca="1" ref="D106" ca="1">INDEX({"C-Class";"E-Class";"S-Class";"GLA";"GLC";"GLE";"GLS";"EQB"}, RANDBETWEEN(1,8))</f>
        <v>GLS</v>
      </c>
      <c r="E106" s="4" t="str">
        <f t="shared" ca="1" si="10"/>
        <v>SUV</v>
      </c>
      <c r="F106" s="4">
        <f t="shared" ca="1" si="11"/>
        <v>3</v>
      </c>
      <c r="G106" s="8">
        <f t="shared" ca="1" si="12"/>
        <v>14489483</v>
      </c>
      <c r="H106" s="8">
        <f t="shared" ca="1" si="13"/>
        <v>43468449</v>
      </c>
      <c r="I106" s="8">
        <f t="shared" ca="1" si="14"/>
        <v>35209443.689999998</v>
      </c>
      <c r="J106" s="8">
        <f t="shared" ca="1" si="15"/>
        <v>8259005.3100000024</v>
      </c>
      <c r="K106" s="6">
        <f t="shared" ca="1" si="16"/>
        <v>0.19000000000000006</v>
      </c>
      <c r="L106" s="4" t="str" cm="1">
        <f t="array" aca="1" ref="L106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06" s="8">
        <f t="shared" ca="1" si="17"/>
        <v>5305</v>
      </c>
      <c r="N106" s="4" t="str" cm="1">
        <f t="array" aca="1" ref="N106" ca="1">INDEX({"New";"Repeat"}, RANDBETWEEN(1,2))</f>
        <v>Repeat</v>
      </c>
      <c r="O106" s="4" t="str" cm="1">
        <f t="array" aca="1" ref="O106" ca="1">INDEX({"Loan";"Cash";"Lease"}, RANDBETWEEN(1,3))</f>
        <v>Loan</v>
      </c>
    </row>
    <row r="107" spans="1:15" x14ac:dyDescent="0.2">
      <c r="A107" s="4">
        <v>105</v>
      </c>
      <c r="B107" s="5">
        <f t="shared" ca="1" si="9"/>
        <v>45837</v>
      </c>
      <c r="C107" s="4" t="str" cm="1">
        <f t="array" aca="1" ref="C107" ca="1">INDEX({"Cochin";"Delhi";"Mumbai";"Pune";"Bengaluru"}, RANDBETWEEN(1,5))</f>
        <v>Mumbai</v>
      </c>
      <c r="D107" s="4" t="str" cm="1">
        <f t="array" aca="1" ref="D107" ca="1">INDEX({"C-Class";"E-Class";"S-Class";"GLA";"GLC";"GLE";"GLS";"EQB"}, RANDBETWEEN(1,8))</f>
        <v>E-Class</v>
      </c>
      <c r="E107" s="4" t="str">
        <f t="shared" ca="1" si="10"/>
        <v>Sedan</v>
      </c>
      <c r="F107" s="4">
        <f t="shared" ca="1" si="11"/>
        <v>5</v>
      </c>
      <c r="G107" s="8">
        <f t="shared" ca="1" si="12"/>
        <v>7907320</v>
      </c>
      <c r="H107" s="8">
        <f t="shared" ca="1" si="13"/>
        <v>39536600</v>
      </c>
      <c r="I107" s="8">
        <f t="shared" ca="1" si="14"/>
        <v>29257084</v>
      </c>
      <c r="J107" s="8">
        <f t="shared" ca="1" si="15"/>
        <v>10279516</v>
      </c>
      <c r="K107" s="6">
        <f t="shared" ca="1" si="16"/>
        <v>0.26</v>
      </c>
      <c r="L107" s="4" t="str" cm="1">
        <f t="array" aca="1" ref="L10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07" s="8">
        <f t="shared" ca="1" si="17"/>
        <v>23839</v>
      </c>
      <c r="N107" s="4" t="str" cm="1">
        <f t="array" aca="1" ref="N107" ca="1">INDEX({"New";"Repeat"}, RANDBETWEEN(1,2))</f>
        <v>New</v>
      </c>
      <c r="O107" s="4" t="str" cm="1">
        <f t="array" aca="1" ref="O107" ca="1">INDEX({"Loan";"Cash";"Lease"}, RANDBETWEEN(1,3))</f>
        <v>Loan</v>
      </c>
    </row>
    <row r="108" spans="1:15" x14ac:dyDescent="0.2">
      <c r="A108" s="4">
        <v>106</v>
      </c>
      <c r="B108" s="5">
        <f t="shared" ca="1" si="9"/>
        <v>45756</v>
      </c>
      <c r="C108" s="4" t="str" cm="1">
        <f t="array" aca="1" ref="C108" ca="1">INDEX({"Cochin";"Delhi";"Mumbai";"Pune";"Bengaluru"}, RANDBETWEEN(1,5))</f>
        <v>Delhi</v>
      </c>
      <c r="D108" s="4" t="str" cm="1">
        <f t="array" aca="1" ref="D108" ca="1">INDEX({"C-Class";"E-Class";"S-Class";"GLA";"GLC";"GLE";"GLS";"EQB"}, RANDBETWEEN(1,8))</f>
        <v>GLA</v>
      </c>
      <c r="E108" s="4" t="str">
        <f t="shared" ca="1" si="10"/>
        <v>SUV</v>
      </c>
      <c r="F108" s="4">
        <f t="shared" ca="1" si="11"/>
        <v>4</v>
      </c>
      <c r="G108" s="8">
        <f t="shared" ca="1" si="12"/>
        <v>4615579</v>
      </c>
      <c r="H108" s="8">
        <f t="shared" ca="1" si="13"/>
        <v>18462316</v>
      </c>
      <c r="I108" s="8">
        <f t="shared" ca="1" si="14"/>
        <v>15692968.6</v>
      </c>
      <c r="J108" s="8">
        <f t="shared" ca="1" si="15"/>
        <v>2769347.4000000004</v>
      </c>
      <c r="K108" s="6">
        <f t="shared" ca="1" si="16"/>
        <v>0.15000000000000002</v>
      </c>
      <c r="L108" s="4" t="str" cm="1">
        <f t="array" aca="1" ref="L10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08" s="8">
        <f t="shared" ca="1" si="17"/>
        <v>13649</v>
      </c>
      <c r="N108" s="4" t="str" cm="1">
        <f t="array" aca="1" ref="N108" ca="1">INDEX({"New";"Repeat"}, RANDBETWEEN(1,2))</f>
        <v>New</v>
      </c>
      <c r="O108" s="4" t="str" cm="1">
        <f t="array" aca="1" ref="O108" ca="1">INDEX({"Loan";"Cash";"Lease"}, RANDBETWEEN(1,3))</f>
        <v>Lease</v>
      </c>
    </row>
    <row r="109" spans="1:15" x14ac:dyDescent="0.2">
      <c r="A109" s="4">
        <v>107</v>
      </c>
      <c r="B109" s="5">
        <f t="shared" ca="1" si="9"/>
        <v>44990</v>
      </c>
      <c r="C109" s="4" t="str" cm="1">
        <f t="array" aca="1" ref="C109" ca="1">INDEX({"Cochin";"Delhi";"Mumbai";"Pune";"Bengaluru"}, RANDBETWEEN(1,5))</f>
        <v>Cochin</v>
      </c>
      <c r="D109" s="4" t="str" cm="1">
        <f t="array" aca="1" ref="D109" ca="1">INDEX({"C-Class";"E-Class";"S-Class";"GLA";"GLC";"GLE";"GLS";"EQB"}, RANDBETWEEN(1,8))</f>
        <v>E-Class</v>
      </c>
      <c r="E109" s="4" t="str">
        <f t="shared" ca="1" si="10"/>
        <v>Sedan</v>
      </c>
      <c r="F109" s="4">
        <f t="shared" ca="1" si="11"/>
        <v>4</v>
      </c>
      <c r="G109" s="8">
        <f t="shared" ca="1" si="12"/>
        <v>9289285</v>
      </c>
      <c r="H109" s="8">
        <f t="shared" ca="1" si="13"/>
        <v>37157140</v>
      </c>
      <c r="I109" s="8">
        <f t="shared" ca="1" si="14"/>
        <v>28610997.800000001</v>
      </c>
      <c r="J109" s="8">
        <f t="shared" ca="1" si="15"/>
        <v>8546142.1999999993</v>
      </c>
      <c r="K109" s="6">
        <f t="shared" ca="1" si="16"/>
        <v>0.22999999999999998</v>
      </c>
      <c r="L109" s="4" t="str" cm="1">
        <f t="array" aca="1" ref="L10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09" s="8">
        <f t="shared" ca="1" si="17"/>
        <v>20050</v>
      </c>
      <c r="N109" s="4" t="str" cm="1">
        <f t="array" aca="1" ref="N109" ca="1">INDEX({"New";"Repeat"}, RANDBETWEEN(1,2))</f>
        <v>New</v>
      </c>
      <c r="O109" s="4" t="str" cm="1">
        <f t="array" aca="1" ref="O109" ca="1">INDEX({"Loan";"Cash";"Lease"}, RANDBETWEEN(1,3))</f>
        <v>Loan</v>
      </c>
    </row>
    <row r="110" spans="1:15" x14ac:dyDescent="0.2">
      <c r="A110" s="4">
        <v>108</v>
      </c>
      <c r="B110" s="5">
        <f t="shared" ca="1" si="9"/>
        <v>45397</v>
      </c>
      <c r="C110" s="4" t="str" cm="1">
        <f t="array" aca="1" ref="C110" ca="1">INDEX({"Cochin";"Delhi";"Mumbai";"Pune";"Bengaluru"}, RANDBETWEEN(1,5))</f>
        <v>Bengaluru</v>
      </c>
      <c r="D110" s="4" t="str" cm="1">
        <f t="array" aca="1" ref="D110" ca="1">INDEX({"C-Class";"E-Class";"S-Class";"GLA";"GLC";"GLE";"GLS";"EQB"}, RANDBETWEEN(1,8))</f>
        <v>S-Class</v>
      </c>
      <c r="E110" s="4" t="str">
        <f t="shared" ca="1" si="10"/>
        <v>Sedan</v>
      </c>
      <c r="F110" s="4">
        <f t="shared" ca="1" si="11"/>
        <v>4</v>
      </c>
      <c r="G110" s="8">
        <f t="shared" ca="1" si="12"/>
        <v>21473570</v>
      </c>
      <c r="H110" s="8">
        <f t="shared" ca="1" si="13"/>
        <v>85894280</v>
      </c>
      <c r="I110" s="8">
        <f t="shared" ca="1" si="14"/>
        <v>66138595.600000001</v>
      </c>
      <c r="J110" s="8">
        <f t="shared" ca="1" si="15"/>
        <v>19755684.399999999</v>
      </c>
      <c r="K110" s="6">
        <f t="shared" ca="1" si="16"/>
        <v>0.22999999999999998</v>
      </c>
      <c r="L110" s="4" t="str" cm="1">
        <f t="array" aca="1" ref="L110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10" s="8">
        <f t="shared" ca="1" si="17"/>
        <v>11635</v>
      </c>
      <c r="N110" s="4" t="str" cm="1">
        <f t="array" aca="1" ref="N110" ca="1">INDEX({"New";"Repeat"}, RANDBETWEEN(1,2))</f>
        <v>New</v>
      </c>
      <c r="O110" s="4" t="str" cm="1">
        <f t="array" aca="1" ref="O110" ca="1">INDEX({"Loan";"Cash";"Lease"}, RANDBETWEEN(1,3))</f>
        <v>Loan</v>
      </c>
    </row>
    <row r="111" spans="1:15" x14ac:dyDescent="0.2">
      <c r="A111" s="4">
        <v>109</v>
      </c>
      <c r="B111" s="5">
        <f t="shared" ca="1" si="9"/>
        <v>44947</v>
      </c>
      <c r="C111" s="4" t="str" cm="1">
        <f t="array" aca="1" ref="C111" ca="1">INDEX({"Cochin";"Delhi";"Mumbai";"Pune";"Bengaluru"}, RANDBETWEEN(1,5))</f>
        <v>Cochin</v>
      </c>
      <c r="D111" s="4" t="str" cm="1">
        <f t="array" aca="1" ref="D111" ca="1">INDEX({"C-Class";"E-Class";"S-Class";"GLA";"GLC";"GLE";"GLS";"EQB"}, RANDBETWEEN(1,8))</f>
        <v>GLC</v>
      </c>
      <c r="E111" s="4" t="str">
        <f t="shared" ca="1" si="10"/>
        <v>SUV</v>
      </c>
      <c r="F111" s="4">
        <f t="shared" ca="1" si="11"/>
        <v>4</v>
      </c>
      <c r="G111" s="8">
        <f t="shared" ca="1" si="12"/>
        <v>6695444</v>
      </c>
      <c r="H111" s="8">
        <f t="shared" ca="1" si="13"/>
        <v>26781776</v>
      </c>
      <c r="I111" s="8">
        <f t="shared" ca="1" si="14"/>
        <v>22764509.600000001</v>
      </c>
      <c r="J111" s="8">
        <f t="shared" ca="1" si="15"/>
        <v>4017266.3999999985</v>
      </c>
      <c r="K111" s="6">
        <f t="shared" ca="1" si="16"/>
        <v>0.14999999999999994</v>
      </c>
      <c r="L111" s="4" t="str" cm="1">
        <f t="array" aca="1" ref="L11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11" s="8">
        <f t="shared" ca="1" si="17"/>
        <v>19141</v>
      </c>
      <c r="N111" s="4" t="str" cm="1">
        <f t="array" aca="1" ref="N111" ca="1">INDEX({"New";"Repeat"}, RANDBETWEEN(1,2))</f>
        <v>New</v>
      </c>
      <c r="O111" s="4" t="str" cm="1">
        <f t="array" aca="1" ref="O111" ca="1">INDEX({"Loan";"Cash";"Lease"}, RANDBETWEEN(1,3))</f>
        <v>Cash</v>
      </c>
    </row>
    <row r="112" spans="1:15" x14ac:dyDescent="0.2">
      <c r="A112" s="4">
        <v>110</v>
      </c>
      <c r="B112" s="5">
        <f t="shared" ca="1" si="9"/>
        <v>45763</v>
      </c>
      <c r="C112" s="4" t="str" cm="1">
        <f t="array" aca="1" ref="C112" ca="1">INDEX({"Cochin";"Delhi";"Mumbai";"Pune";"Bengaluru"}, RANDBETWEEN(1,5))</f>
        <v>Pune</v>
      </c>
      <c r="D112" s="4" t="str" cm="1">
        <f t="array" aca="1" ref="D112" ca="1">INDEX({"C-Class";"E-Class";"S-Class";"GLA";"GLC";"GLE";"GLS";"EQB"}, RANDBETWEEN(1,8))</f>
        <v>S-Class</v>
      </c>
      <c r="E112" s="4" t="str">
        <f t="shared" ca="1" si="10"/>
        <v>Sedan</v>
      </c>
      <c r="F112" s="4">
        <f t="shared" ca="1" si="11"/>
        <v>1</v>
      </c>
      <c r="G112" s="8">
        <f t="shared" ca="1" si="12"/>
        <v>19617757</v>
      </c>
      <c r="H112" s="8">
        <f t="shared" ca="1" si="13"/>
        <v>19617757</v>
      </c>
      <c r="I112" s="8">
        <f t="shared" ca="1" si="14"/>
        <v>14909495.32</v>
      </c>
      <c r="J112" s="8">
        <f t="shared" ca="1" si="15"/>
        <v>4708261.68</v>
      </c>
      <c r="K112" s="6">
        <f t="shared" ca="1" si="16"/>
        <v>0.24</v>
      </c>
      <c r="L112" s="4" t="str" cm="1">
        <f t="array" aca="1" ref="L11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12" s="8">
        <f t="shared" ca="1" si="17"/>
        <v>3931</v>
      </c>
      <c r="N112" s="4" t="str" cm="1">
        <f t="array" aca="1" ref="N112" ca="1">INDEX({"New";"Repeat"}, RANDBETWEEN(1,2))</f>
        <v>Repeat</v>
      </c>
      <c r="O112" s="4" t="str" cm="1">
        <f t="array" aca="1" ref="O112" ca="1">INDEX({"Loan";"Cash";"Lease"}, RANDBETWEEN(1,3))</f>
        <v>Lease</v>
      </c>
    </row>
    <row r="113" spans="1:15" x14ac:dyDescent="0.2">
      <c r="A113" s="4">
        <v>111</v>
      </c>
      <c r="B113" s="5">
        <f t="shared" ca="1" si="9"/>
        <v>45726</v>
      </c>
      <c r="C113" s="4" t="str" cm="1">
        <f t="array" aca="1" ref="C113" ca="1">INDEX({"Cochin";"Delhi";"Mumbai";"Pune";"Bengaluru"}, RANDBETWEEN(1,5))</f>
        <v>Bengaluru</v>
      </c>
      <c r="D113" s="4" t="str" cm="1">
        <f t="array" aca="1" ref="D113" ca="1">INDEX({"C-Class";"E-Class";"S-Class";"GLA";"GLC";"GLE";"GLS";"EQB"}, RANDBETWEEN(1,8))</f>
        <v>GLA</v>
      </c>
      <c r="E113" s="4" t="str">
        <f t="shared" ca="1" si="10"/>
        <v>SUV</v>
      </c>
      <c r="F113" s="4">
        <f t="shared" ca="1" si="11"/>
        <v>4</v>
      </c>
      <c r="G113" s="8">
        <f t="shared" ca="1" si="12"/>
        <v>4938757</v>
      </c>
      <c r="H113" s="8">
        <f t="shared" ca="1" si="13"/>
        <v>19755028</v>
      </c>
      <c r="I113" s="8">
        <f t="shared" ca="1" si="14"/>
        <v>16594223.52</v>
      </c>
      <c r="J113" s="8">
        <f t="shared" ca="1" si="15"/>
        <v>3160804.4800000004</v>
      </c>
      <c r="K113" s="6">
        <f t="shared" ca="1" si="16"/>
        <v>0.16000000000000003</v>
      </c>
      <c r="L113" s="4" t="str" cm="1">
        <f t="array" aca="1" ref="L11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13" s="8">
        <f t="shared" ca="1" si="17"/>
        <v>7941</v>
      </c>
      <c r="N113" s="4" t="str" cm="1">
        <f t="array" aca="1" ref="N113" ca="1">INDEX({"New";"Repeat"}, RANDBETWEEN(1,2))</f>
        <v>Repeat</v>
      </c>
      <c r="O113" s="4" t="str" cm="1">
        <f t="array" aca="1" ref="O113" ca="1">INDEX({"Loan";"Cash";"Lease"}, RANDBETWEEN(1,3))</f>
        <v>Lease</v>
      </c>
    </row>
    <row r="114" spans="1:15" x14ac:dyDescent="0.2">
      <c r="A114" s="4">
        <v>112</v>
      </c>
      <c r="B114" s="5">
        <f t="shared" ca="1" si="9"/>
        <v>45386</v>
      </c>
      <c r="C114" s="4" t="str" cm="1">
        <f t="array" aca="1" ref="C114" ca="1">INDEX({"Cochin";"Delhi";"Mumbai";"Pune";"Bengaluru"}, RANDBETWEEN(1,5))</f>
        <v>Pune</v>
      </c>
      <c r="D114" s="4" t="str" cm="1">
        <f t="array" aca="1" ref="D114" ca="1">INDEX({"C-Class";"E-Class";"S-Class";"GLA";"GLC";"GLE";"GLS";"EQB"}, RANDBETWEEN(1,8))</f>
        <v>GLE</v>
      </c>
      <c r="E114" s="4" t="str">
        <f t="shared" ca="1" si="10"/>
        <v>SUV</v>
      </c>
      <c r="F114" s="4">
        <f t="shared" ca="1" si="11"/>
        <v>4</v>
      </c>
      <c r="G114" s="8">
        <f t="shared" ca="1" si="12"/>
        <v>10559791</v>
      </c>
      <c r="H114" s="8">
        <f t="shared" ca="1" si="13"/>
        <v>42239164</v>
      </c>
      <c r="I114" s="8">
        <f t="shared" ca="1" si="14"/>
        <v>33791331.200000003</v>
      </c>
      <c r="J114" s="8">
        <f t="shared" ca="1" si="15"/>
        <v>8447832.799999997</v>
      </c>
      <c r="K114" s="6">
        <f t="shared" ca="1" si="16"/>
        <v>0.19999999999999993</v>
      </c>
      <c r="L114" s="4" t="str" cm="1">
        <f t="array" aca="1" ref="L11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14" s="8">
        <f t="shared" ca="1" si="17"/>
        <v>6962</v>
      </c>
      <c r="N114" s="4" t="str" cm="1">
        <f t="array" aca="1" ref="N114" ca="1">INDEX({"New";"Repeat"}, RANDBETWEEN(1,2))</f>
        <v>Repeat</v>
      </c>
      <c r="O114" s="4" t="str" cm="1">
        <f t="array" aca="1" ref="O114" ca="1">INDEX({"Loan";"Cash";"Lease"}, RANDBETWEEN(1,3))</f>
        <v>Lease</v>
      </c>
    </row>
    <row r="115" spans="1:15" x14ac:dyDescent="0.2">
      <c r="A115" s="4">
        <v>113</v>
      </c>
      <c r="B115" s="5">
        <f t="shared" ca="1" si="9"/>
        <v>45627</v>
      </c>
      <c r="C115" s="4" t="str" cm="1">
        <f t="array" aca="1" ref="C115" ca="1">INDEX({"Cochin";"Delhi";"Mumbai";"Pune";"Bengaluru"}, RANDBETWEEN(1,5))</f>
        <v>Mumbai</v>
      </c>
      <c r="D115" s="4" t="str" cm="1">
        <f t="array" aca="1" ref="D115" ca="1">INDEX({"C-Class";"E-Class";"S-Class";"GLA";"GLC";"GLE";"GLS";"EQB"}, RANDBETWEEN(1,8))</f>
        <v>GLA</v>
      </c>
      <c r="E115" s="4" t="str">
        <f t="shared" ca="1" si="10"/>
        <v>SUV</v>
      </c>
      <c r="F115" s="4">
        <f t="shared" ca="1" si="11"/>
        <v>5</v>
      </c>
      <c r="G115" s="8">
        <f t="shared" ca="1" si="12"/>
        <v>4801621</v>
      </c>
      <c r="H115" s="8">
        <f t="shared" ca="1" si="13"/>
        <v>24008105</v>
      </c>
      <c r="I115" s="8">
        <f t="shared" ca="1" si="14"/>
        <v>19446565.050000001</v>
      </c>
      <c r="J115" s="8">
        <f t="shared" ca="1" si="15"/>
        <v>4561539.9499999993</v>
      </c>
      <c r="K115" s="6">
        <f t="shared" ca="1" si="16"/>
        <v>0.18999999999999997</v>
      </c>
      <c r="L115" s="4" t="str" cm="1">
        <f t="array" aca="1" ref="L115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15" s="8">
        <f t="shared" ca="1" si="17"/>
        <v>4091</v>
      </c>
      <c r="N115" s="4" t="str" cm="1">
        <f t="array" aca="1" ref="N115" ca="1">INDEX({"New";"Repeat"}, RANDBETWEEN(1,2))</f>
        <v>Repeat</v>
      </c>
      <c r="O115" s="4" t="str" cm="1">
        <f t="array" aca="1" ref="O115" ca="1">INDEX({"Loan";"Cash";"Lease"}, RANDBETWEEN(1,3))</f>
        <v>Cash</v>
      </c>
    </row>
    <row r="116" spans="1:15" x14ac:dyDescent="0.2">
      <c r="A116" s="4">
        <v>114</v>
      </c>
      <c r="B116" s="5">
        <f t="shared" ca="1" si="9"/>
        <v>45620</v>
      </c>
      <c r="C116" s="4" t="str" cm="1">
        <f t="array" aca="1" ref="C116" ca="1">INDEX({"Cochin";"Delhi";"Mumbai";"Pune";"Bengaluru"}, RANDBETWEEN(1,5))</f>
        <v>Pune</v>
      </c>
      <c r="D116" s="4" t="str" cm="1">
        <f t="array" aca="1" ref="D116" ca="1">INDEX({"C-Class";"E-Class";"S-Class";"GLA";"GLC";"GLE";"GLS";"EQB"}, RANDBETWEEN(1,8))</f>
        <v>EQB</v>
      </c>
      <c r="E116" s="4" t="str">
        <f t="shared" ca="1" si="10"/>
        <v>EV</v>
      </c>
      <c r="F116" s="4">
        <f t="shared" ca="1" si="11"/>
        <v>3</v>
      </c>
      <c r="G116" s="8">
        <f t="shared" ca="1" si="12"/>
        <v>7582608</v>
      </c>
      <c r="H116" s="8">
        <f t="shared" ca="1" si="13"/>
        <v>22747824</v>
      </c>
      <c r="I116" s="8">
        <f t="shared" ca="1" si="14"/>
        <v>16150955.039999999</v>
      </c>
      <c r="J116" s="8">
        <f t="shared" ca="1" si="15"/>
        <v>6596868.9600000009</v>
      </c>
      <c r="K116" s="6">
        <f t="shared" ca="1" si="16"/>
        <v>0.29000000000000004</v>
      </c>
      <c r="L116" s="4" t="str" cm="1">
        <f t="array" aca="1" ref="L11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16" s="8">
        <f t="shared" ca="1" si="17"/>
        <v>4032</v>
      </c>
      <c r="N116" s="4" t="str" cm="1">
        <f t="array" aca="1" ref="N116" ca="1">INDEX({"New";"Repeat"}, RANDBETWEEN(1,2))</f>
        <v>Repeat</v>
      </c>
      <c r="O116" s="4" t="str" cm="1">
        <f t="array" aca="1" ref="O116" ca="1">INDEX({"Loan";"Cash";"Lease"}, RANDBETWEEN(1,3))</f>
        <v>Lease</v>
      </c>
    </row>
    <row r="117" spans="1:15" x14ac:dyDescent="0.2">
      <c r="A117" s="4">
        <v>115</v>
      </c>
      <c r="B117" s="5">
        <f t="shared" ca="1" si="9"/>
        <v>45631</v>
      </c>
      <c r="C117" s="4" t="str" cm="1">
        <f t="array" aca="1" ref="C117" ca="1">INDEX({"Cochin";"Delhi";"Mumbai";"Pune";"Bengaluru"}, RANDBETWEEN(1,5))</f>
        <v>Pune</v>
      </c>
      <c r="D117" s="4" t="str" cm="1">
        <f t="array" aca="1" ref="D117" ca="1">INDEX({"C-Class";"E-Class";"S-Class";"GLA";"GLC";"GLE";"GLS";"EQB"}, RANDBETWEEN(1,8))</f>
        <v>S-Class</v>
      </c>
      <c r="E117" s="4" t="str">
        <f t="shared" ca="1" si="10"/>
        <v>Sedan</v>
      </c>
      <c r="F117" s="4">
        <f t="shared" ca="1" si="11"/>
        <v>5</v>
      </c>
      <c r="G117" s="8">
        <f t="shared" ca="1" si="12"/>
        <v>15489550</v>
      </c>
      <c r="H117" s="8">
        <f t="shared" ca="1" si="13"/>
        <v>77447750</v>
      </c>
      <c r="I117" s="8">
        <f t="shared" ca="1" si="14"/>
        <v>63507155</v>
      </c>
      <c r="J117" s="8">
        <f t="shared" ca="1" si="15"/>
        <v>13940595</v>
      </c>
      <c r="K117" s="6">
        <f t="shared" ca="1" si="16"/>
        <v>0.18</v>
      </c>
      <c r="L117" s="4" t="str" cm="1">
        <f t="array" aca="1" ref="L11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117" s="8">
        <f t="shared" ca="1" si="17"/>
        <v>23688</v>
      </c>
      <c r="N117" s="4" t="str" cm="1">
        <f t="array" aca="1" ref="N117" ca="1">INDEX({"New";"Repeat"}, RANDBETWEEN(1,2))</f>
        <v>New</v>
      </c>
      <c r="O117" s="4" t="str" cm="1">
        <f t="array" aca="1" ref="O117" ca="1">INDEX({"Loan";"Cash";"Lease"}, RANDBETWEEN(1,3))</f>
        <v>Loan</v>
      </c>
    </row>
    <row r="118" spans="1:15" x14ac:dyDescent="0.2">
      <c r="A118" s="4">
        <v>116</v>
      </c>
      <c r="B118" s="5">
        <f t="shared" ca="1" si="9"/>
        <v>45403</v>
      </c>
      <c r="C118" s="4" t="str" cm="1">
        <f t="array" aca="1" ref="C118" ca="1">INDEX({"Cochin";"Delhi";"Mumbai";"Pune";"Bengaluru"}, RANDBETWEEN(1,5))</f>
        <v>Mumbai</v>
      </c>
      <c r="D118" s="4" t="str" cm="1">
        <f t="array" aca="1" ref="D118" ca="1">INDEX({"C-Class";"E-Class";"S-Class";"GLA";"GLC";"GLE";"GLS";"EQB"}, RANDBETWEEN(1,8))</f>
        <v>EQB</v>
      </c>
      <c r="E118" s="4" t="str">
        <f t="shared" ca="1" si="10"/>
        <v>EV</v>
      </c>
      <c r="F118" s="4">
        <f t="shared" ca="1" si="11"/>
        <v>1</v>
      </c>
      <c r="G118" s="8">
        <f t="shared" ca="1" si="12"/>
        <v>7668893</v>
      </c>
      <c r="H118" s="8">
        <f t="shared" ca="1" si="13"/>
        <v>7668893</v>
      </c>
      <c r="I118" s="8">
        <f t="shared" ca="1" si="14"/>
        <v>5521602.96</v>
      </c>
      <c r="J118" s="8">
        <f t="shared" ca="1" si="15"/>
        <v>2147290.04</v>
      </c>
      <c r="K118" s="6">
        <f t="shared" ca="1" si="16"/>
        <v>0.28000000000000003</v>
      </c>
      <c r="L118" s="4" t="str" cm="1">
        <f t="array" aca="1" ref="L11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18" s="8">
        <f t="shared" ca="1" si="17"/>
        <v>13055</v>
      </c>
      <c r="N118" s="4" t="str" cm="1">
        <f t="array" aca="1" ref="N118" ca="1">INDEX({"New";"Repeat"}, RANDBETWEEN(1,2))</f>
        <v>New</v>
      </c>
      <c r="O118" s="4" t="str" cm="1">
        <f t="array" aca="1" ref="O118" ca="1">INDEX({"Loan";"Cash";"Lease"}, RANDBETWEEN(1,3))</f>
        <v>Cash</v>
      </c>
    </row>
    <row r="119" spans="1:15" x14ac:dyDescent="0.2">
      <c r="A119" s="4">
        <v>117</v>
      </c>
      <c r="B119" s="5">
        <f t="shared" ca="1" si="9"/>
        <v>45691</v>
      </c>
      <c r="C119" s="4" t="str" cm="1">
        <f t="array" aca="1" ref="C119" ca="1">INDEX({"Cochin";"Delhi";"Mumbai";"Pune";"Bengaluru"}, RANDBETWEEN(1,5))</f>
        <v>Cochin</v>
      </c>
      <c r="D119" s="4" t="str" cm="1">
        <f t="array" aca="1" ref="D119" ca="1">INDEX({"C-Class";"E-Class";"S-Class";"GLA";"GLC";"GLE";"GLS";"EQB"}, RANDBETWEEN(1,8))</f>
        <v>E-Class</v>
      </c>
      <c r="E119" s="4" t="str">
        <f t="shared" ca="1" si="10"/>
        <v>Sedan</v>
      </c>
      <c r="F119" s="4">
        <f t="shared" ca="1" si="11"/>
        <v>1</v>
      </c>
      <c r="G119" s="8">
        <f t="shared" ca="1" si="12"/>
        <v>8689503</v>
      </c>
      <c r="H119" s="8">
        <f t="shared" ca="1" si="13"/>
        <v>8689503</v>
      </c>
      <c r="I119" s="8">
        <f t="shared" ca="1" si="14"/>
        <v>7299182.5199999996</v>
      </c>
      <c r="J119" s="8">
        <f t="shared" ca="1" si="15"/>
        <v>1390320.4800000004</v>
      </c>
      <c r="K119" s="6">
        <f t="shared" ca="1" si="16"/>
        <v>0.16000000000000006</v>
      </c>
      <c r="L119" s="4" t="str" cm="1">
        <f t="array" aca="1" ref="L11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119" s="8">
        <f t="shared" ca="1" si="17"/>
        <v>4758</v>
      </c>
      <c r="N119" s="4" t="str" cm="1">
        <f t="array" aca="1" ref="N119" ca="1">INDEX({"New";"Repeat"}, RANDBETWEEN(1,2))</f>
        <v>Repeat</v>
      </c>
      <c r="O119" s="4" t="str" cm="1">
        <f t="array" aca="1" ref="O119" ca="1">INDEX({"Loan";"Cash";"Lease"}, RANDBETWEEN(1,3))</f>
        <v>Cash</v>
      </c>
    </row>
    <row r="120" spans="1:15" x14ac:dyDescent="0.2">
      <c r="A120" s="4">
        <v>118</v>
      </c>
      <c r="B120" s="5">
        <f t="shared" ca="1" si="9"/>
        <v>45802</v>
      </c>
      <c r="C120" s="4" t="str" cm="1">
        <f t="array" aca="1" ref="C120" ca="1">INDEX({"Cochin";"Delhi";"Mumbai";"Pune";"Bengaluru"}, RANDBETWEEN(1,5))</f>
        <v>Mumbai</v>
      </c>
      <c r="D120" s="4" t="str" cm="1">
        <f t="array" aca="1" ref="D120" ca="1">INDEX({"C-Class";"E-Class";"S-Class";"GLA";"GLC";"GLE";"GLS";"EQB"}, RANDBETWEEN(1,8))</f>
        <v>GLC</v>
      </c>
      <c r="E120" s="4" t="str">
        <f t="shared" ca="1" si="10"/>
        <v>SUV</v>
      </c>
      <c r="F120" s="4">
        <f t="shared" ca="1" si="11"/>
        <v>1</v>
      </c>
      <c r="G120" s="8">
        <f t="shared" ca="1" si="12"/>
        <v>6984671</v>
      </c>
      <c r="H120" s="8">
        <f t="shared" ca="1" si="13"/>
        <v>6984671</v>
      </c>
      <c r="I120" s="8">
        <f t="shared" ca="1" si="14"/>
        <v>5517890.0899999999</v>
      </c>
      <c r="J120" s="8">
        <f t="shared" ca="1" si="15"/>
        <v>1466780.9100000001</v>
      </c>
      <c r="K120" s="6">
        <f t="shared" ca="1" si="16"/>
        <v>0.21000000000000002</v>
      </c>
      <c r="L120" s="4" t="str" cm="1">
        <f t="array" aca="1" ref="L12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20" s="8">
        <f t="shared" ca="1" si="17"/>
        <v>4006</v>
      </c>
      <c r="N120" s="4" t="str" cm="1">
        <f t="array" aca="1" ref="N120" ca="1">INDEX({"New";"Repeat"}, RANDBETWEEN(1,2))</f>
        <v>Repeat</v>
      </c>
      <c r="O120" s="4" t="str" cm="1">
        <f t="array" aca="1" ref="O120" ca="1">INDEX({"Loan";"Cash";"Lease"}, RANDBETWEEN(1,3))</f>
        <v>Lease</v>
      </c>
    </row>
    <row r="121" spans="1:15" x14ac:dyDescent="0.2">
      <c r="A121" s="4">
        <v>119</v>
      </c>
      <c r="B121" s="5">
        <f t="shared" ca="1" si="9"/>
        <v>45356</v>
      </c>
      <c r="C121" s="4" t="str" cm="1">
        <f t="array" aca="1" ref="C121" ca="1">INDEX({"Cochin";"Delhi";"Mumbai";"Pune";"Bengaluru"}, RANDBETWEEN(1,5))</f>
        <v>Mumbai</v>
      </c>
      <c r="D121" s="4" t="str" cm="1">
        <f t="array" aca="1" ref="D121" ca="1">INDEX({"C-Class";"E-Class";"S-Class";"GLA";"GLC";"GLE";"GLS";"EQB"}, RANDBETWEEN(1,8))</f>
        <v>C-Class</v>
      </c>
      <c r="E121" s="4" t="str">
        <f t="shared" ca="1" si="10"/>
        <v>Sedan</v>
      </c>
      <c r="F121" s="4">
        <f t="shared" ca="1" si="11"/>
        <v>3</v>
      </c>
      <c r="G121" s="8">
        <f t="shared" ca="1" si="12"/>
        <v>6139324</v>
      </c>
      <c r="H121" s="8">
        <f t="shared" ca="1" si="13"/>
        <v>18417972</v>
      </c>
      <c r="I121" s="8">
        <f t="shared" ca="1" si="14"/>
        <v>14366018.16</v>
      </c>
      <c r="J121" s="8">
        <f t="shared" ca="1" si="15"/>
        <v>4051953.84</v>
      </c>
      <c r="K121" s="6">
        <f t="shared" ca="1" si="16"/>
        <v>0.22</v>
      </c>
      <c r="L121" s="4" t="str" cm="1">
        <f t="array" aca="1" ref="L12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21" s="8">
        <f t="shared" ca="1" si="17"/>
        <v>7342</v>
      </c>
      <c r="N121" s="4" t="str" cm="1">
        <f t="array" aca="1" ref="N121" ca="1">INDEX({"New";"Repeat"}, RANDBETWEEN(1,2))</f>
        <v>Repeat</v>
      </c>
      <c r="O121" s="4" t="str" cm="1">
        <f t="array" aca="1" ref="O121" ca="1">INDEX({"Loan";"Cash";"Lease"}, RANDBETWEEN(1,3))</f>
        <v>Lease</v>
      </c>
    </row>
    <row r="122" spans="1:15" x14ac:dyDescent="0.2">
      <c r="A122" s="4">
        <v>120</v>
      </c>
      <c r="B122" s="5">
        <f t="shared" ca="1" si="9"/>
        <v>45063</v>
      </c>
      <c r="C122" s="4" t="str" cm="1">
        <f t="array" aca="1" ref="C122" ca="1">INDEX({"Cochin";"Delhi";"Mumbai";"Pune";"Bengaluru"}, RANDBETWEEN(1,5))</f>
        <v>Bengaluru</v>
      </c>
      <c r="D122" s="4" t="str" cm="1">
        <f t="array" aca="1" ref="D122" ca="1">INDEX({"C-Class";"E-Class";"S-Class";"GLA";"GLC";"GLE";"GLS";"EQB"}, RANDBETWEEN(1,8))</f>
        <v>C-Class</v>
      </c>
      <c r="E122" s="4" t="str">
        <f t="shared" ca="1" si="10"/>
        <v>Sedan</v>
      </c>
      <c r="F122" s="4">
        <f t="shared" ca="1" si="11"/>
        <v>1</v>
      </c>
      <c r="G122" s="8">
        <f t="shared" ca="1" si="12"/>
        <v>6807497</v>
      </c>
      <c r="H122" s="8">
        <f t="shared" ca="1" si="13"/>
        <v>6807497</v>
      </c>
      <c r="I122" s="8">
        <f t="shared" ca="1" si="14"/>
        <v>5514072.5700000003</v>
      </c>
      <c r="J122" s="8">
        <f t="shared" ca="1" si="15"/>
        <v>1293424.4299999997</v>
      </c>
      <c r="K122" s="6">
        <f t="shared" ca="1" si="16"/>
        <v>0.18999999999999995</v>
      </c>
      <c r="L122" s="4" t="str" cm="1">
        <f t="array" aca="1" ref="L12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22" s="8">
        <f t="shared" ca="1" si="17"/>
        <v>5382</v>
      </c>
      <c r="N122" s="4" t="str" cm="1">
        <f t="array" aca="1" ref="N122" ca="1">INDEX({"New";"Repeat"}, RANDBETWEEN(1,2))</f>
        <v>Repeat</v>
      </c>
      <c r="O122" s="4" t="str" cm="1">
        <f t="array" aca="1" ref="O122" ca="1">INDEX({"Loan";"Cash";"Lease"}, RANDBETWEEN(1,3))</f>
        <v>Loan</v>
      </c>
    </row>
    <row r="123" spans="1:15" x14ac:dyDescent="0.2">
      <c r="A123" s="4">
        <v>121</v>
      </c>
      <c r="B123" s="5">
        <f t="shared" ca="1" si="9"/>
        <v>45222</v>
      </c>
      <c r="C123" s="4" t="str" cm="1">
        <f t="array" aca="1" ref="C123" ca="1">INDEX({"Cochin";"Delhi";"Mumbai";"Pune";"Bengaluru"}, RANDBETWEEN(1,5))</f>
        <v>Cochin</v>
      </c>
      <c r="D123" s="4" t="str" cm="1">
        <f t="array" aca="1" ref="D123" ca="1">INDEX({"C-Class";"E-Class";"S-Class";"GLA";"GLC";"GLE";"GLS";"EQB"}, RANDBETWEEN(1,8))</f>
        <v>S-Class</v>
      </c>
      <c r="E123" s="4" t="str">
        <f t="shared" ca="1" si="10"/>
        <v>Sedan</v>
      </c>
      <c r="F123" s="4">
        <f t="shared" ca="1" si="11"/>
        <v>3</v>
      </c>
      <c r="G123" s="8">
        <f t="shared" ca="1" si="12"/>
        <v>22828546</v>
      </c>
      <c r="H123" s="8">
        <f t="shared" ca="1" si="13"/>
        <v>68485638</v>
      </c>
      <c r="I123" s="8">
        <f t="shared" ca="1" si="14"/>
        <v>58212792.299999997</v>
      </c>
      <c r="J123" s="8">
        <f t="shared" ca="1" si="15"/>
        <v>10272845.700000003</v>
      </c>
      <c r="K123" s="6">
        <f t="shared" ca="1" si="16"/>
        <v>0.15000000000000005</v>
      </c>
      <c r="L123" s="4" t="str" cm="1">
        <f t="array" aca="1" ref="L12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23" s="8">
        <f t="shared" ca="1" si="17"/>
        <v>5406</v>
      </c>
      <c r="N123" s="4" t="str" cm="1">
        <f t="array" aca="1" ref="N123" ca="1">INDEX({"New";"Repeat"}, RANDBETWEEN(1,2))</f>
        <v>Repeat</v>
      </c>
      <c r="O123" s="4" t="str" cm="1">
        <f t="array" aca="1" ref="O123" ca="1">INDEX({"Loan";"Cash";"Lease"}, RANDBETWEEN(1,3))</f>
        <v>Lease</v>
      </c>
    </row>
    <row r="124" spans="1:15" x14ac:dyDescent="0.2">
      <c r="A124" s="4">
        <v>122</v>
      </c>
      <c r="B124" s="5">
        <f t="shared" ca="1" si="9"/>
        <v>45106</v>
      </c>
      <c r="C124" s="4" t="str" cm="1">
        <f t="array" aca="1" ref="C124" ca="1">INDEX({"Cochin";"Delhi";"Mumbai";"Pune";"Bengaluru"}, RANDBETWEEN(1,5))</f>
        <v>Cochin</v>
      </c>
      <c r="D124" s="4" t="str" cm="1">
        <f t="array" aca="1" ref="D124" ca="1">INDEX({"C-Class";"E-Class";"S-Class";"GLA";"GLC";"GLE";"GLS";"EQB"}, RANDBETWEEN(1,8))</f>
        <v>EQB</v>
      </c>
      <c r="E124" s="4" t="str">
        <f t="shared" ca="1" si="10"/>
        <v>EV</v>
      </c>
      <c r="F124" s="4">
        <f t="shared" ca="1" si="11"/>
        <v>5</v>
      </c>
      <c r="G124" s="8">
        <f t="shared" ca="1" si="12"/>
        <v>7679195</v>
      </c>
      <c r="H124" s="8">
        <f t="shared" ca="1" si="13"/>
        <v>38395975</v>
      </c>
      <c r="I124" s="8">
        <f t="shared" ca="1" si="14"/>
        <v>30332820.25</v>
      </c>
      <c r="J124" s="8">
        <f t="shared" ca="1" si="15"/>
        <v>8063154.75</v>
      </c>
      <c r="K124" s="6">
        <f t="shared" ca="1" si="16"/>
        <v>0.21</v>
      </c>
      <c r="L124" s="4" t="str" cm="1">
        <f t="array" aca="1" ref="L124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24" s="8">
        <f t="shared" ca="1" si="17"/>
        <v>4239</v>
      </c>
      <c r="N124" s="4" t="str" cm="1">
        <f t="array" aca="1" ref="N124" ca="1">INDEX({"New";"Repeat"}, RANDBETWEEN(1,2))</f>
        <v>Repeat</v>
      </c>
      <c r="O124" s="4" t="str" cm="1">
        <f t="array" aca="1" ref="O124" ca="1">INDEX({"Loan";"Cash";"Lease"}, RANDBETWEEN(1,3))</f>
        <v>Cash</v>
      </c>
    </row>
    <row r="125" spans="1:15" x14ac:dyDescent="0.2">
      <c r="A125" s="4">
        <v>123</v>
      </c>
      <c r="B125" s="5">
        <f t="shared" ca="1" si="9"/>
        <v>45074</v>
      </c>
      <c r="C125" s="4" t="str" cm="1">
        <f t="array" aca="1" ref="C125" ca="1">INDEX({"Cochin";"Delhi";"Mumbai";"Pune";"Bengaluru"}, RANDBETWEEN(1,5))</f>
        <v>Mumbai</v>
      </c>
      <c r="D125" s="4" t="str" cm="1">
        <f t="array" aca="1" ref="D125" ca="1">INDEX({"C-Class";"E-Class";"S-Class";"GLA";"GLC";"GLE";"GLS";"EQB"}, RANDBETWEEN(1,8))</f>
        <v>EQB</v>
      </c>
      <c r="E125" s="4" t="str">
        <f t="shared" ca="1" si="10"/>
        <v>EV</v>
      </c>
      <c r="F125" s="4">
        <f t="shared" ca="1" si="11"/>
        <v>2</v>
      </c>
      <c r="G125" s="8">
        <f t="shared" ca="1" si="12"/>
        <v>7603903</v>
      </c>
      <c r="H125" s="8">
        <f t="shared" ca="1" si="13"/>
        <v>15207806</v>
      </c>
      <c r="I125" s="8">
        <f t="shared" ca="1" si="14"/>
        <v>12014166.74</v>
      </c>
      <c r="J125" s="8">
        <f t="shared" ca="1" si="15"/>
        <v>3193639.26</v>
      </c>
      <c r="K125" s="6">
        <f t="shared" ca="1" si="16"/>
        <v>0.21</v>
      </c>
      <c r="L125" s="4" t="str" cm="1">
        <f t="array" aca="1" ref="L12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25" s="8">
        <f t="shared" ca="1" si="17"/>
        <v>12022</v>
      </c>
      <c r="N125" s="4" t="str" cm="1">
        <f t="array" aca="1" ref="N125" ca="1">INDEX({"New";"Repeat"}, RANDBETWEEN(1,2))</f>
        <v>New</v>
      </c>
      <c r="O125" s="4" t="str" cm="1">
        <f t="array" aca="1" ref="O125" ca="1">INDEX({"Loan";"Cash";"Lease"}, RANDBETWEEN(1,3))</f>
        <v>Lease</v>
      </c>
    </row>
    <row r="126" spans="1:15" x14ac:dyDescent="0.2">
      <c r="A126" s="4">
        <v>124</v>
      </c>
      <c r="B126" s="5">
        <f t="shared" ca="1" si="9"/>
        <v>44932</v>
      </c>
      <c r="C126" s="4" t="str" cm="1">
        <f t="array" aca="1" ref="C126" ca="1">INDEX({"Cochin";"Delhi";"Mumbai";"Pune";"Bengaluru"}, RANDBETWEEN(1,5))</f>
        <v>Mumbai</v>
      </c>
      <c r="D126" s="4" t="str" cm="1">
        <f t="array" aca="1" ref="D126" ca="1">INDEX({"C-Class";"E-Class";"S-Class";"GLA";"GLC";"GLE";"GLS";"EQB"}, RANDBETWEEN(1,8))</f>
        <v>GLS</v>
      </c>
      <c r="E126" s="4" t="str">
        <f t="shared" ca="1" si="10"/>
        <v>SUV</v>
      </c>
      <c r="F126" s="4">
        <f t="shared" ca="1" si="11"/>
        <v>1</v>
      </c>
      <c r="G126" s="8">
        <f t="shared" ca="1" si="12"/>
        <v>13531619</v>
      </c>
      <c r="H126" s="8">
        <f t="shared" ca="1" si="13"/>
        <v>13531619</v>
      </c>
      <c r="I126" s="8">
        <f t="shared" ca="1" si="14"/>
        <v>10013398.060000001</v>
      </c>
      <c r="J126" s="8">
        <f t="shared" ca="1" si="15"/>
        <v>3518220.9399999995</v>
      </c>
      <c r="K126" s="6">
        <f t="shared" ca="1" si="16"/>
        <v>0.25999999999999995</v>
      </c>
      <c r="L126" s="4" t="str" cm="1">
        <f t="array" aca="1" ref="L126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26" s="8">
        <f t="shared" ca="1" si="17"/>
        <v>23933</v>
      </c>
      <c r="N126" s="4" t="str" cm="1">
        <f t="array" aca="1" ref="N126" ca="1">INDEX({"New";"Repeat"}, RANDBETWEEN(1,2))</f>
        <v>New</v>
      </c>
      <c r="O126" s="4" t="str" cm="1">
        <f t="array" aca="1" ref="O126" ca="1">INDEX({"Loan";"Cash";"Lease"}, RANDBETWEEN(1,3))</f>
        <v>Cash</v>
      </c>
    </row>
    <row r="127" spans="1:15" x14ac:dyDescent="0.2">
      <c r="A127" s="4">
        <v>125</v>
      </c>
      <c r="B127" s="5">
        <f t="shared" ca="1" si="9"/>
        <v>45336</v>
      </c>
      <c r="C127" s="4" t="str" cm="1">
        <f t="array" aca="1" ref="C127" ca="1">INDEX({"Cochin";"Delhi";"Mumbai";"Pune";"Bengaluru"}, RANDBETWEEN(1,5))</f>
        <v>Cochin</v>
      </c>
      <c r="D127" s="4" t="str" cm="1">
        <f t="array" aca="1" ref="D127" ca="1">INDEX({"C-Class";"E-Class";"S-Class";"GLA";"GLC";"GLE";"GLS";"EQB"}, RANDBETWEEN(1,8))</f>
        <v>S-Class</v>
      </c>
      <c r="E127" s="4" t="str">
        <f t="shared" ca="1" si="10"/>
        <v>Sedan</v>
      </c>
      <c r="F127" s="4">
        <f t="shared" ca="1" si="11"/>
        <v>5</v>
      </c>
      <c r="G127" s="8">
        <f t="shared" ca="1" si="12"/>
        <v>19401749</v>
      </c>
      <c r="H127" s="8">
        <f t="shared" ca="1" si="13"/>
        <v>97008745</v>
      </c>
      <c r="I127" s="8">
        <f t="shared" ca="1" si="14"/>
        <v>76636908.549999997</v>
      </c>
      <c r="J127" s="8">
        <f t="shared" ca="1" si="15"/>
        <v>20371836.450000003</v>
      </c>
      <c r="K127" s="6">
        <f t="shared" ca="1" si="16"/>
        <v>0.21000000000000002</v>
      </c>
      <c r="L127" s="4" t="str" cm="1">
        <f t="array" aca="1" ref="L127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27" s="8">
        <f t="shared" ca="1" si="17"/>
        <v>6954</v>
      </c>
      <c r="N127" s="4" t="str" cm="1">
        <f t="array" aca="1" ref="N127" ca="1">INDEX({"New";"Repeat"}, RANDBETWEEN(1,2))</f>
        <v>Repeat</v>
      </c>
      <c r="O127" s="4" t="str" cm="1">
        <f t="array" aca="1" ref="O127" ca="1">INDEX({"Loan";"Cash";"Lease"}, RANDBETWEEN(1,3))</f>
        <v>Cash</v>
      </c>
    </row>
    <row r="128" spans="1:15" x14ac:dyDescent="0.2">
      <c r="A128" s="4">
        <v>126</v>
      </c>
      <c r="B128" s="5">
        <f t="shared" ca="1" si="9"/>
        <v>45063</v>
      </c>
      <c r="C128" s="4" t="str" cm="1">
        <f t="array" aca="1" ref="C128" ca="1">INDEX({"Cochin";"Delhi";"Mumbai";"Pune";"Bengaluru"}, RANDBETWEEN(1,5))</f>
        <v>Mumbai</v>
      </c>
      <c r="D128" s="4" t="str" cm="1">
        <f t="array" aca="1" ref="D128" ca="1">INDEX({"C-Class";"E-Class";"S-Class";"GLA";"GLC";"GLE";"GLS";"EQB"}, RANDBETWEEN(1,8))</f>
        <v>GLC</v>
      </c>
      <c r="E128" s="4" t="str">
        <f t="shared" ca="1" si="10"/>
        <v>SUV</v>
      </c>
      <c r="F128" s="4">
        <f t="shared" ca="1" si="11"/>
        <v>3</v>
      </c>
      <c r="G128" s="8">
        <f t="shared" ca="1" si="12"/>
        <v>6871605</v>
      </c>
      <c r="H128" s="8">
        <f t="shared" ca="1" si="13"/>
        <v>20614815</v>
      </c>
      <c r="I128" s="8">
        <f t="shared" ca="1" si="14"/>
        <v>16285703.85</v>
      </c>
      <c r="J128" s="8">
        <f t="shared" ca="1" si="15"/>
        <v>4329111.1500000004</v>
      </c>
      <c r="K128" s="6">
        <f t="shared" ca="1" si="16"/>
        <v>0.21000000000000002</v>
      </c>
      <c r="L128" s="4" t="str" cm="1">
        <f t="array" aca="1" ref="L12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28" s="8">
        <f t="shared" ca="1" si="17"/>
        <v>4349</v>
      </c>
      <c r="N128" s="4" t="str" cm="1">
        <f t="array" aca="1" ref="N128" ca="1">INDEX({"New";"Repeat"}, RANDBETWEEN(1,2))</f>
        <v>Repeat</v>
      </c>
      <c r="O128" s="4" t="str" cm="1">
        <f t="array" aca="1" ref="O128" ca="1">INDEX({"Loan";"Cash";"Lease"}, RANDBETWEEN(1,3))</f>
        <v>Cash</v>
      </c>
    </row>
    <row r="129" spans="1:15" x14ac:dyDescent="0.2">
      <c r="A129" s="4">
        <v>127</v>
      </c>
      <c r="B129" s="5">
        <f t="shared" ca="1" si="9"/>
        <v>45804</v>
      </c>
      <c r="C129" s="4" t="str" cm="1">
        <f t="array" aca="1" ref="C129" ca="1">INDEX({"Cochin";"Delhi";"Mumbai";"Pune";"Bengaluru"}, RANDBETWEEN(1,5))</f>
        <v>Mumbai</v>
      </c>
      <c r="D129" s="4" t="str" cm="1">
        <f t="array" aca="1" ref="D129" ca="1">INDEX({"C-Class";"E-Class";"S-Class";"GLA";"GLC";"GLE";"GLS";"EQB"}, RANDBETWEEN(1,8))</f>
        <v>C-Class</v>
      </c>
      <c r="E129" s="4" t="str">
        <f t="shared" ca="1" si="10"/>
        <v>Sedan</v>
      </c>
      <c r="F129" s="4">
        <f t="shared" ca="1" si="11"/>
        <v>3</v>
      </c>
      <c r="G129" s="8">
        <f t="shared" ca="1" si="12"/>
        <v>5907192</v>
      </c>
      <c r="H129" s="8">
        <f t="shared" ca="1" si="13"/>
        <v>17721576</v>
      </c>
      <c r="I129" s="8">
        <f t="shared" ca="1" si="14"/>
        <v>13291182</v>
      </c>
      <c r="J129" s="8">
        <f t="shared" ca="1" si="15"/>
        <v>4430394</v>
      </c>
      <c r="K129" s="6">
        <f t="shared" ca="1" si="16"/>
        <v>0.25</v>
      </c>
      <c r="L129" s="4" t="str" cm="1">
        <f t="array" aca="1" ref="L12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29" s="8">
        <f t="shared" ca="1" si="17"/>
        <v>20327</v>
      </c>
      <c r="N129" s="4" t="str" cm="1">
        <f t="array" aca="1" ref="N129" ca="1">INDEX({"New";"Repeat"}, RANDBETWEEN(1,2))</f>
        <v>New</v>
      </c>
      <c r="O129" s="4" t="str" cm="1">
        <f t="array" aca="1" ref="O129" ca="1">INDEX({"Loan";"Cash";"Lease"}, RANDBETWEEN(1,3))</f>
        <v>Cash</v>
      </c>
    </row>
    <row r="130" spans="1:15" x14ac:dyDescent="0.2">
      <c r="A130" s="4">
        <v>128</v>
      </c>
      <c r="B130" s="5">
        <f t="shared" ca="1" si="9"/>
        <v>45799</v>
      </c>
      <c r="C130" s="4" t="str" cm="1">
        <f t="array" aca="1" ref="C130" ca="1">INDEX({"Cochin";"Delhi";"Mumbai";"Pune";"Bengaluru"}, RANDBETWEEN(1,5))</f>
        <v>Delhi</v>
      </c>
      <c r="D130" s="4" t="str" cm="1">
        <f t="array" aca="1" ref="D130" ca="1">INDEX({"C-Class";"E-Class";"S-Class";"GLA";"GLC";"GLE";"GLS";"EQB"}, RANDBETWEEN(1,8))</f>
        <v>GLE</v>
      </c>
      <c r="E130" s="4" t="str">
        <f t="shared" ca="1" si="10"/>
        <v>SUV</v>
      </c>
      <c r="F130" s="4">
        <f t="shared" ca="1" si="11"/>
        <v>4</v>
      </c>
      <c r="G130" s="8">
        <f t="shared" ca="1" si="12"/>
        <v>12673512</v>
      </c>
      <c r="H130" s="8">
        <f t="shared" ca="1" si="13"/>
        <v>50694048</v>
      </c>
      <c r="I130" s="8">
        <f t="shared" ca="1" si="14"/>
        <v>35992774.079999998</v>
      </c>
      <c r="J130" s="8">
        <f t="shared" ca="1" si="15"/>
        <v>14701273.920000002</v>
      </c>
      <c r="K130" s="6">
        <f t="shared" ca="1" si="16"/>
        <v>0.29000000000000004</v>
      </c>
      <c r="L130" s="4" t="str" cm="1">
        <f t="array" aca="1" ref="L13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130" s="8">
        <f t="shared" ca="1" si="17"/>
        <v>4508</v>
      </c>
      <c r="N130" s="4" t="str" cm="1">
        <f t="array" aca="1" ref="N130" ca="1">INDEX({"New";"Repeat"}, RANDBETWEEN(1,2))</f>
        <v>Repeat</v>
      </c>
      <c r="O130" s="4" t="str" cm="1">
        <f t="array" aca="1" ref="O130" ca="1">INDEX({"Loan";"Cash";"Lease"}, RANDBETWEEN(1,3))</f>
        <v>Lease</v>
      </c>
    </row>
    <row r="131" spans="1:15" x14ac:dyDescent="0.2">
      <c r="A131" s="4">
        <v>129</v>
      </c>
      <c r="B131" s="5">
        <f t="shared" ca="1" si="9"/>
        <v>45469</v>
      </c>
      <c r="C131" s="4" t="str" cm="1">
        <f t="array" aca="1" ref="C131" ca="1">INDEX({"Cochin";"Delhi";"Mumbai";"Pune";"Bengaluru"}, RANDBETWEEN(1,5))</f>
        <v>Mumbai</v>
      </c>
      <c r="D131" s="4" t="str" cm="1">
        <f t="array" aca="1" ref="D131" ca="1">INDEX({"C-Class";"E-Class";"S-Class";"GLA";"GLC";"GLE";"GLS";"EQB"}, RANDBETWEEN(1,8))</f>
        <v>GLA</v>
      </c>
      <c r="E131" s="4" t="str">
        <f t="shared" ca="1" si="10"/>
        <v>SUV</v>
      </c>
      <c r="F131" s="4">
        <f t="shared" ca="1" si="11"/>
        <v>3</v>
      </c>
      <c r="G131" s="8">
        <f t="shared" ca="1" si="12"/>
        <v>4754298</v>
      </c>
      <c r="H131" s="8">
        <f t="shared" ca="1" si="13"/>
        <v>14262894</v>
      </c>
      <c r="I131" s="8">
        <f t="shared" ca="1" si="14"/>
        <v>11695573.08</v>
      </c>
      <c r="J131" s="8">
        <f t="shared" ca="1" si="15"/>
        <v>2567320.92</v>
      </c>
      <c r="K131" s="6">
        <f t="shared" ca="1" si="16"/>
        <v>0.18</v>
      </c>
      <c r="L131" s="4" t="str" cm="1">
        <f t="array" aca="1" ref="L131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31" s="8">
        <f t="shared" ca="1" si="17"/>
        <v>5483</v>
      </c>
      <c r="N131" s="4" t="str" cm="1">
        <f t="array" aca="1" ref="N131" ca="1">INDEX({"New";"Repeat"}, RANDBETWEEN(1,2))</f>
        <v>Repeat</v>
      </c>
      <c r="O131" s="4" t="str" cm="1">
        <f t="array" aca="1" ref="O131" ca="1">INDEX({"Loan";"Cash";"Lease"}, RANDBETWEEN(1,3))</f>
        <v>Loan</v>
      </c>
    </row>
    <row r="132" spans="1:15" x14ac:dyDescent="0.2">
      <c r="A132" s="4">
        <v>130</v>
      </c>
      <c r="B132" s="5">
        <f t="shared" ref="B132:B195" ca="1" si="18">RANDBETWEEN(DATE(2023,1,1),DATE(2025,9,1))</f>
        <v>45806</v>
      </c>
      <c r="C132" s="4" t="str" cm="1">
        <f t="array" aca="1" ref="C132" ca="1">INDEX({"Cochin";"Delhi";"Mumbai";"Pune";"Bengaluru"}, RANDBETWEEN(1,5))</f>
        <v>Bengaluru</v>
      </c>
      <c r="D132" s="4" t="str" cm="1">
        <f t="array" aca="1" ref="D132" ca="1">INDEX({"C-Class";"E-Class";"S-Class";"GLA";"GLC";"GLE";"GLS";"EQB"}, RANDBETWEEN(1,8))</f>
        <v>E-Class</v>
      </c>
      <c r="E132" s="4" t="str">
        <f t="shared" ref="E132:E195" ca="1" si="19">IF(D132="EQB","EV", IF(OR(D132="GLA",D132="GLC",D132="GLE",D132="GLS"),"SUV","Sedan"))</f>
        <v>Sedan</v>
      </c>
      <c r="F132" s="4">
        <f t="shared" ref="F132:F195" ca="1" si="20">RANDBETWEEN(1,5)</f>
        <v>1</v>
      </c>
      <c r="G132" s="8">
        <f t="shared" ref="G132:G195" ca="1" si="21">IF(D132="C-Class",RANDBETWEEN(5500000,7000000),
IF(D132="E-Class",RANDBETWEEN(7500000,9500000),
IF(D132="S-Class",RANDBETWEEN(15000000,25000000),
IF(D132="GLA",RANDBETWEEN(4500000,5500000),
IF(D132="GLC",RANDBETWEEN(6500000,7500000),
IF(D132="GLE",RANDBETWEEN(9000000,13000000),
IF(D132="GLS",RANDBETWEEN(13000000,18000000),
IF(D132="EQB",RANDBETWEEN(7000000,8000000)))))))))</f>
        <v>8282799</v>
      </c>
      <c r="H132" s="8">
        <f t="shared" ref="H132:H195" ca="1" si="22">F132*G132</f>
        <v>8282799</v>
      </c>
      <c r="I132" s="8">
        <f t="shared" ref="I132:I195" ca="1" si="23">G132 *F132* RANDBETWEEN(70,85) / 100</f>
        <v>6957551.1600000001</v>
      </c>
      <c r="J132" s="8">
        <f t="shared" ref="J132:J195" ca="1" si="24">H132 -I132</f>
        <v>1325247.8399999999</v>
      </c>
      <c r="K132" s="6">
        <f t="shared" ref="K132:K195" ca="1" si="25">J132/H132</f>
        <v>0.15999999999999998</v>
      </c>
      <c r="L132" s="4" t="str" cm="1">
        <f t="array" aca="1" ref="L132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32" s="8">
        <f t="shared" ref="M132:M195" ca="1" si="26">IF(N132="New", RANDBETWEEN(10000,25000), RANDBETWEEN(3000,8000))</f>
        <v>14576</v>
      </c>
      <c r="N132" s="4" t="str" cm="1">
        <f t="array" aca="1" ref="N132" ca="1">INDEX({"New";"Repeat"}, RANDBETWEEN(1,2))</f>
        <v>New</v>
      </c>
      <c r="O132" s="4" t="str" cm="1">
        <f t="array" aca="1" ref="O132" ca="1">INDEX({"Loan";"Cash";"Lease"}, RANDBETWEEN(1,3))</f>
        <v>Loan</v>
      </c>
    </row>
    <row r="133" spans="1:15" x14ac:dyDescent="0.2">
      <c r="A133" s="4">
        <v>131</v>
      </c>
      <c r="B133" s="5">
        <f t="shared" ca="1" si="18"/>
        <v>45154</v>
      </c>
      <c r="C133" s="4" t="str" cm="1">
        <f t="array" aca="1" ref="C133" ca="1">INDEX({"Cochin";"Delhi";"Mumbai";"Pune";"Bengaluru"}, RANDBETWEEN(1,5))</f>
        <v>Pune</v>
      </c>
      <c r="D133" s="4" t="str" cm="1">
        <f t="array" aca="1" ref="D133" ca="1">INDEX({"C-Class";"E-Class";"S-Class";"GLA";"GLC";"GLE";"GLS";"EQB"}, RANDBETWEEN(1,8))</f>
        <v>GLE</v>
      </c>
      <c r="E133" s="4" t="str">
        <f t="shared" ca="1" si="19"/>
        <v>SUV</v>
      </c>
      <c r="F133" s="4">
        <f t="shared" ca="1" si="20"/>
        <v>5</v>
      </c>
      <c r="G133" s="8">
        <f t="shared" ca="1" si="21"/>
        <v>9220195</v>
      </c>
      <c r="H133" s="8">
        <f t="shared" ca="1" si="22"/>
        <v>46100975</v>
      </c>
      <c r="I133" s="8">
        <f t="shared" ca="1" si="23"/>
        <v>35036741</v>
      </c>
      <c r="J133" s="8">
        <f t="shared" ca="1" si="24"/>
        <v>11064234</v>
      </c>
      <c r="K133" s="6">
        <f t="shared" ca="1" si="25"/>
        <v>0.24</v>
      </c>
      <c r="L133" s="4" t="str" cm="1">
        <f t="array" aca="1" ref="L13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33" s="8">
        <f t="shared" ca="1" si="26"/>
        <v>4042</v>
      </c>
      <c r="N133" s="4" t="str" cm="1">
        <f t="array" aca="1" ref="N133" ca="1">INDEX({"New";"Repeat"}, RANDBETWEEN(1,2))</f>
        <v>Repeat</v>
      </c>
      <c r="O133" s="4" t="str" cm="1">
        <f t="array" aca="1" ref="O133" ca="1">INDEX({"Loan";"Cash";"Lease"}, RANDBETWEEN(1,3))</f>
        <v>Loan</v>
      </c>
    </row>
    <row r="134" spans="1:15" x14ac:dyDescent="0.2">
      <c r="A134" s="4">
        <v>132</v>
      </c>
      <c r="B134" s="5">
        <f t="shared" ca="1" si="18"/>
        <v>45208</v>
      </c>
      <c r="C134" s="4" t="str" cm="1">
        <f t="array" aca="1" ref="C134" ca="1">INDEX({"Cochin";"Delhi";"Mumbai";"Pune";"Bengaluru"}, RANDBETWEEN(1,5))</f>
        <v>Cochin</v>
      </c>
      <c r="D134" s="4" t="str" cm="1">
        <f t="array" aca="1" ref="D134" ca="1">INDEX({"C-Class";"E-Class";"S-Class";"GLA";"GLC";"GLE";"GLS";"EQB"}, RANDBETWEEN(1,8))</f>
        <v>S-Class</v>
      </c>
      <c r="E134" s="4" t="str">
        <f t="shared" ca="1" si="19"/>
        <v>Sedan</v>
      </c>
      <c r="F134" s="4">
        <f t="shared" ca="1" si="20"/>
        <v>3</v>
      </c>
      <c r="G134" s="8">
        <f t="shared" ca="1" si="21"/>
        <v>24895714</v>
      </c>
      <c r="H134" s="8">
        <f t="shared" ca="1" si="22"/>
        <v>74687142</v>
      </c>
      <c r="I134" s="8">
        <f t="shared" ca="1" si="23"/>
        <v>55268485.079999998</v>
      </c>
      <c r="J134" s="8">
        <f t="shared" ca="1" si="24"/>
        <v>19418656.920000002</v>
      </c>
      <c r="K134" s="6">
        <f t="shared" ca="1" si="25"/>
        <v>0.26</v>
      </c>
      <c r="L134" s="4" t="str" cm="1">
        <f t="array" aca="1" ref="L13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34" s="8">
        <f t="shared" ca="1" si="26"/>
        <v>19874</v>
      </c>
      <c r="N134" s="4" t="str" cm="1">
        <f t="array" aca="1" ref="N134" ca="1">INDEX({"New";"Repeat"}, RANDBETWEEN(1,2))</f>
        <v>New</v>
      </c>
      <c r="O134" s="4" t="str" cm="1">
        <f t="array" aca="1" ref="O134" ca="1">INDEX({"Loan";"Cash";"Lease"}, RANDBETWEEN(1,3))</f>
        <v>Loan</v>
      </c>
    </row>
    <row r="135" spans="1:15" x14ac:dyDescent="0.2">
      <c r="A135" s="4">
        <v>133</v>
      </c>
      <c r="B135" s="5">
        <f t="shared" ca="1" si="18"/>
        <v>45694</v>
      </c>
      <c r="C135" s="4" t="str" cm="1">
        <f t="array" aca="1" ref="C135" ca="1">INDEX({"Cochin";"Delhi";"Mumbai";"Pune";"Bengaluru"}, RANDBETWEEN(1,5))</f>
        <v>Pune</v>
      </c>
      <c r="D135" s="4" t="str" cm="1">
        <f t="array" aca="1" ref="D135" ca="1">INDEX({"C-Class";"E-Class";"S-Class";"GLA";"GLC";"GLE";"GLS";"EQB"}, RANDBETWEEN(1,8))</f>
        <v>C-Class</v>
      </c>
      <c r="E135" s="4" t="str">
        <f t="shared" ca="1" si="19"/>
        <v>Sedan</v>
      </c>
      <c r="F135" s="4">
        <f t="shared" ca="1" si="20"/>
        <v>5</v>
      </c>
      <c r="G135" s="8">
        <f t="shared" ca="1" si="21"/>
        <v>6733877</v>
      </c>
      <c r="H135" s="8">
        <f t="shared" ca="1" si="22"/>
        <v>33669385</v>
      </c>
      <c r="I135" s="8">
        <f t="shared" ca="1" si="23"/>
        <v>27272201.850000001</v>
      </c>
      <c r="J135" s="8">
        <f t="shared" ca="1" si="24"/>
        <v>6397183.1499999985</v>
      </c>
      <c r="K135" s="6">
        <f t="shared" ca="1" si="25"/>
        <v>0.18999999999999995</v>
      </c>
      <c r="L135" s="4" t="str" cm="1">
        <f t="array" aca="1" ref="L13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35" s="8">
        <f t="shared" ca="1" si="26"/>
        <v>19976</v>
      </c>
      <c r="N135" s="4" t="str" cm="1">
        <f t="array" aca="1" ref="N135" ca="1">INDEX({"New";"Repeat"}, RANDBETWEEN(1,2))</f>
        <v>New</v>
      </c>
      <c r="O135" s="4" t="str" cm="1">
        <f t="array" aca="1" ref="O135" ca="1">INDEX({"Loan";"Cash";"Lease"}, RANDBETWEEN(1,3))</f>
        <v>Cash</v>
      </c>
    </row>
    <row r="136" spans="1:15" x14ac:dyDescent="0.2">
      <c r="A136" s="4">
        <v>134</v>
      </c>
      <c r="B136" s="5">
        <f t="shared" ca="1" si="18"/>
        <v>45741</v>
      </c>
      <c r="C136" s="4" t="str" cm="1">
        <f t="array" aca="1" ref="C136" ca="1">INDEX({"Cochin";"Delhi";"Mumbai";"Pune";"Bengaluru"}, RANDBETWEEN(1,5))</f>
        <v>Delhi</v>
      </c>
      <c r="D136" s="4" t="str" cm="1">
        <f t="array" aca="1" ref="D136" ca="1">INDEX({"C-Class";"E-Class";"S-Class";"GLA";"GLC";"GLE";"GLS";"EQB"}, RANDBETWEEN(1,8))</f>
        <v>S-Class</v>
      </c>
      <c r="E136" s="4" t="str">
        <f t="shared" ca="1" si="19"/>
        <v>Sedan</v>
      </c>
      <c r="F136" s="4">
        <f t="shared" ca="1" si="20"/>
        <v>5</v>
      </c>
      <c r="G136" s="8">
        <f t="shared" ca="1" si="21"/>
        <v>21554204</v>
      </c>
      <c r="H136" s="8">
        <f t="shared" ca="1" si="22"/>
        <v>107771020</v>
      </c>
      <c r="I136" s="8">
        <f t="shared" ca="1" si="23"/>
        <v>82983685.400000006</v>
      </c>
      <c r="J136" s="8">
        <f t="shared" ca="1" si="24"/>
        <v>24787334.599999994</v>
      </c>
      <c r="K136" s="6">
        <f t="shared" ca="1" si="25"/>
        <v>0.22999999999999995</v>
      </c>
      <c r="L136" s="4" t="str" cm="1">
        <f t="array" aca="1" ref="L136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36" s="8">
        <f t="shared" ca="1" si="26"/>
        <v>13011</v>
      </c>
      <c r="N136" s="4" t="str" cm="1">
        <f t="array" aca="1" ref="N136" ca="1">INDEX({"New";"Repeat"}, RANDBETWEEN(1,2))</f>
        <v>New</v>
      </c>
      <c r="O136" s="4" t="str" cm="1">
        <f t="array" aca="1" ref="O136" ca="1">INDEX({"Loan";"Cash";"Lease"}, RANDBETWEEN(1,3))</f>
        <v>Cash</v>
      </c>
    </row>
    <row r="137" spans="1:15" x14ac:dyDescent="0.2">
      <c r="A137" s="4">
        <v>135</v>
      </c>
      <c r="B137" s="5">
        <f t="shared" ca="1" si="18"/>
        <v>45597</v>
      </c>
      <c r="C137" s="4" t="str" cm="1">
        <f t="array" aca="1" ref="C137" ca="1">INDEX({"Cochin";"Delhi";"Mumbai";"Pune";"Bengaluru"}, RANDBETWEEN(1,5))</f>
        <v>Delhi</v>
      </c>
      <c r="D137" s="4" t="str" cm="1">
        <f t="array" aca="1" ref="D137" ca="1">INDEX({"C-Class";"E-Class";"S-Class";"GLA";"GLC";"GLE";"GLS";"EQB"}, RANDBETWEEN(1,8))</f>
        <v>GLA</v>
      </c>
      <c r="E137" s="4" t="str">
        <f t="shared" ca="1" si="19"/>
        <v>SUV</v>
      </c>
      <c r="F137" s="4">
        <f t="shared" ca="1" si="20"/>
        <v>2</v>
      </c>
      <c r="G137" s="8">
        <f t="shared" ca="1" si="21"/>
        <v>5392416</v>
      </c>
      <c r="H137" s="8">
        <f t="shared" ca="1" si="22"/>
        <v>10784832</v>
      </c>
      <c r="I137" s="8">
        <f t="shared" ca="1" si="23"/>
        <v>8088624</v>
      </c>
      <c r="J137" s="8">
        <f t="shared" ca="1" si="24"/>
        <v>2696208</v>
      </c>
      <c r="K137" s="6">
        <f t="shared" ca="1" si="25"/>
        <v>0.25</v>
      </c>
      <c r="L137" s="4" t="str" cm="1">
        <f t="array" aca="1" ref="L13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37" s="8">
        <f t="shared" ca="1" si="26"/>
        <v>22669</v>
      </c>
      <c r="N137" s="4" t="str" cm="1">
        <f t="array" aca="1" ref="N137" ca="1">INDEX({"New";"Repeat"}, RANDBETWEEN(1,2))</f>
        <v>New</v>
      </c>
      <c r="O137" s="4" t="str" cm="1">
        <f t="array" aca="1" ref="O137" ca="1">INDEX({"Loan";"Cash";"Lease"}, RANDBETWEEN(1,3))</f>
        <v>Cash</v>
      </c>
    </row>
    <row r="138" spans="1:15" x14ac:dyDescent="0.2">
      <c r="A138" s="4">
        <v>136</v>
      </c>
      <c r="B138" s="5">
        <f t="shared" ca="1" si="18"/>
        <v>45606</v>
      </c>
      <c r="C138" s="4" t="str" cm="1">
        <f t="array" aca="1" ref="C138" ca="1">INDEX({"Cochin";"Delhi";"Mumbai";"Pune";"Bengaluru"}, RANDBETWEEN(1,5))</f>
        <v>Bengaluru</v>
      </c>
      <c r="D138" s="4" t="str" cm="1">
        <f t="array" aca="1" ref="D138" ca="1">INDEX({"C-Class";"E-Class";"S-Class";"GLA";"GLC";"GLE";"GLS";"EQB"}, RANDBETWEEN(1,8))</f>
        <v>EQB</v>
      </c>
      <c r="E138" s="4" t="str">
        <f t="shared" ca="1" si="19"/>
        <v>EV</v>
      </c>
      <c r="F138" s="4">
        <f t="shared" ca="1" si="20"/>
        <v>3</v>
      </c>
      <c r="G138" s="8">
        <f t="shared" ca="1" si="21"/>
        <v>7619338</v>
      </c>
      <c r="H138" s="8">
        <f t="shared" ca="1" si="22"/>
        <v>22858014</v>
      </c>
      <c r="I138" s="8">
        <f t="shared" ca="1" si="23"/>
        <v>16457770.08</v>
      </c>
      <c r="J138" s="8">
        <f t="shared" ca="1" si="24"/>
        <v>6400243.9199999999</v>
      </c>
      <c r="K138" s="6">
        <f t="shared" ca="1" si="25"/>
        <v>0.27999999999999997</v>
      </c>
      <c r="L138" s="4" t="str" cm="1">
        <f t="array" aca="1" ref="L13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38" s="8">
        <f t="shared" ca="1" si="26"/>
        <v>4804</v>
      </c>
      <c r="N138" s="4" t="str" cm="1">
        <f t="array" aca="1" ref="N138" ca="1">INDEX({"New";"Repeat"}, RANDBETWEEN(1,2))</f>
        <v>Repeat</v>
      </c>
      <c r="O138" s="4" t="str" cm="1">
        <f t="array" aca="1" ref="O138" ca="1">INDEX({"Loan";"Cash";"Lease"}, RANDBETWEEN(1,3))</f>
        <v>Cash</v>
      </c>
    </row>
    <row r="139" spans="1:15" x14ac:dyDescent="0.2">
      <c r="A139" s="4">
        <v>137</v>
      </c>
      <c r="B139" s="5">
        <f t="shared" ca="1" si="18"/>
        <v>45591</v>
      </c>
      <c r="C139" s="4" t="str" cm="1">
        <f t="array" aca="1" ref="C139" ca="1">INDEX({"Cochin";"Delhi";"Mumbai";"Pune";"Bengaluru"}, RANDBETWEEN(1,5))</f>
        <v>Bengaluru</v>
      </c>
      <c r="D139" s="4" t="str" cm="1">
        <f t="array" aca="1" ref="D139" ca="1">INDEX({"C-Class";"E-Class";"S-Class";"GLA";"GLC";"GLE";"GLS";"EQB"}, RANDBETWEEN(1,8))</f>
        <v>GLE</v>
      </c>
      <c r="E139" s="4" t="str">
        <f t="shared" ca="1" si="19"/>
        <v>SUV</v>
      </c>
      <c r="F139" s="4">
        <f t="shared" ca="1" si="20"/>
        <v>3</v>
      </c>
      <c r="G139" s="8">
        <f t="shared" ca="1" si="21"/>
        <v>9758734</v>
      </c>
      <c r="H139" s="8">
        <f t="shared" ca="1" si="22"/>
        <v>29276202</v>
      </c>
      <c r="I139" s="8">
        <f t="shared" ca="1" si="23"/>
        <v>23128199.579999998</v>
      </c>
      <c r="J139" s="8">
        <f t="shared" ca="1" si="24"/>
        <v>6148002.4200000018</v>
      </c>
      <c r="K139" s="6">
        <f t="shared" ca="1" si="25"/>
        <v>0.21000000000000005</v>
      </c>
      <c r="L139" s="4" t="str" cm="1">
        <f t="array" aca="1" ref="L13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39" s="8">
        <f t="shared" ca="1" si="26"/>
        <v>12456</v>
      </c>
      <c r="N139" s="4" t="str" cm="1">
        <f t="array" aca="1" ref="N139" ca="1">INDEX({"New";"Repeat"}, RANDBETWEEN(1,2))</f>
        <v>New</v>
      </c>
      <c r="O139" s="4" t="str" cm="1">
        <f t="array" aca="1" ref="O139" ca="1">INDEX({"Loan";"Cash";"Lease"}, RANDBETWEEN(1,3))</f>
        <v>Cash</v>
      </c>
    </row>
    <row r="140" spans="1:15" x14ac:dyDescent="0.2">
      <c r="A140" s="4">
        <v>138</v>
      </c>
      <c r="B140" s="5">
        <f t="shared" ca="1" si="18"/>
        <v>45287</v>
      </c>
      <c r="C140" s="4" t="str" cm="1">
        <f t="array" aca="1" ref="C140" ca="1">INDEX({"Cochin";"Delhi";"Mumbai";"Pune";"Bengaluru"}, RANDBETWEEN(1,5))</f>
        <v>Bengaluru</v>
      </c>
      <c r="D140" s="4" t="str" cm="1">
        <f t="array" aca="1" ref="D140" ca="1">INDEX({"C-Class";"E-Class";"S-Class";"GLA";"GLC";"GLE";"GLS";"EQB"}, RANDBETWEEN(1,8))</f>
        <v>GLS</v>
      </c>
      <c r="E140" s="4" t="str">
        <f t="shared" ca="1" si="19"/>
        <v>SUV</v>
      </c>
      <c r="F140" s="4">
        <f t="shared" ca="1" si="20"/>
        <v>4</v>
      </c>
      <c r="G140" s="8">
        <f t="shared" ca="1" si="21"/>
        <v>16190746</v>
      </c>
      <c r="H140" s="8">
        <f t="shared" ca="1" si="22"/>
        <v>64762984</v>
      </c>
      <c r="I140" s="8">
        <f t="shared" ca="1" si="23"/>
        <v>50515127.520000003</v>
      </c>
      <c r="J140" s="8">
        <f t="shared" ca="1" si="24"/>
        <v>14247856.479999997</v>
      </c>
      <c r="K140" s="6">
        <f t="shared" ca="1" si="25"/>
        <v>0.21999999999999995</v>
      </c>
      <c r="L140" s="4" t="str" cm="1">
        <f t="array" aca="1" ref="L14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40" s="8">
        <f t="shared" ca="1" si="26"/>
        <v>19178</v>
      </c>
      <c r="N140" s="4" t="str" cm="1">
        <f t="array" aca="1" ref="N140" ca="1">INDEX({"New";"Repeat"}, RANDBETWEEN(1,2))</f>
        <v>New</v>
      </c>
      <c r="O140" s="4" t="str" cm="1">
        <f t="array" aca="1" ref="O140" ca="1">INDEX({"Loan";"Cash";"Lease"}, RANDBETWEEN(1,3))</f>
        <v>Loan</v>
      </c>
    </row>
    <row r="141" spans="1:15" x14ac:dyDescent="0.2">
      <c r="A141" s="4">
        <v>139</v>
      </c>
      <c r="B141" s="5">
        <f t="shared" ca="1" si="18"/>
        <v>45500</v>
      </c>
      <c r="C141" s="4" t="str" cm="1">
        <f t="array" aca="1" ref="C141" ca="1">INDEX({"Cochin";"Delhi";"Mumbai";"Pune";"Bengaluru"}, RANDBETWEEN(1,5))</f>
        <v>Mumbai</v>
      </c>
      <c r="D141" s="4" t="str" cm="1">
        <f t="array" aca="1" ref="D141" ca="1">INDEX({"C-Class";"E-Class";"S-Class";"GLA";"GLC";"GLE";"GLS";"EQB"}, RANDBETWEEN(1,8))</f>
        <v>E-Class</v>
      </c>
      <c r="E141" s="4" t="str">
        <f t="shared" ca="1" si="19"/>
        <v>Sedan</v>
      </c>
      <c r="F141" s="4">
        <f t="shared" ca="1" si="20"/>
        <v>2</v>
      </c>
      <c r="G141" s="8">
        <f t="shared" ca="1" si="21"/>
        <v>8735115</v>
      </c>
      <c r="H141" s="8">
        <f t="shared" ca="1" si="22"/>
        <v>17470230</v>
      </c>
      <c r="I141" s="8">
        <f t="shared" ca="1" si="23"/>
        <v>13976184</v>
      </c>
      <c r="J141" s="8">
        <f t="shared" ca="1" si="24"/>
        <v>3494046</v>
      </c>
      <c r="K141" s="6">
        <f t="shared" ca="1" si="25"/>
        <v>0.2</v>
      </c>
      <c r="L141" s="4" t="str" cm="1">
        <f t="array" aca="1" ref="L141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41" s="8">
        <f t="shared" ca="1" si="26"/>
        <v>18702</v>
      </c>
      <c r="N141" s="4" t="str" cm="1">
        <f t="array" aca="1" ref="N141" ca="1">INDEX({"New";"Repeat"}, RANDBETWEEN(1,2))</f>
        <v>New</v>
      </c>
      <c r="O141" s="4" t="str" cm="1">
        <f t="array" aca="1" ref="O141" ca="1">INDEX({"Loan";"Cash";"Lease"}, RANDBETWEEN(1,3))</f>
        <v>Loan</v>
      </c>
    </row>
    <row r="142" spans="1:15" x14ac:dyDescent="0.2">
      <c r="A142" s="4">
        <v>140</v>
      </c>
      <c r="B142" s="5">
        <f t="shared" ca="1" si="18"/>
        <v>45504</v>
      </c>
      <c r="C142" s="4" t="str" cm="1">
        <f t="array" aca="1" ref="C142" ca="1">INDEX({"Cochin";"Delhi";"Mumbai";"Pune";"Bengaluru"}, RANDBETWEEN(1,5))</f>
        <v>Bengaluru</v>
      </c>
      <c r="D142" s="4" t="str" cm="1">
        <f t="array" aca="1" ref="D142" ca="1">INDEX({"C-Class";"E-Class";"S-Class";"GLA";"GLC";"GLE";"GLS";"EQB"}, RANDBETWEEN(1,8))</f>
        <v>GLC</v>
      </c>
      <c r="E142" s="4" t="str">
        <f t="shared" ca="1" si="19"/>
        <v>SUV</v>
      </c>
      <c r="F142" s="4">
        <f t="shared" ca="1" si="20"/>
        <v>4</v>
      </c>
      <c r="G142" s="8">
        <f t="shared" ca="1" si="21"/>
        <v>7190090</v>
      </c>
      <c r="H142" s="8">
        <f t="shared" ca="1" si="22"/>
        <v>28760360</v>
      </c>
      <c r="I142" s="8">
        <f t="shared" ca="1" si="23"/>
        <v>21857873.600000001</v>
      </c>
      <c r="J142" s="8">
        <f t="shared" ca="1" si="24"/>
        <v>6902486.3999999985</v>
      </c>
      <c r="K142" s="6">
        <f t="shared" ca="1" si="25"/>
        <v>0.23999999999999994</v>
      </c>
      <c r="L142" s="4" t="str" cm="1">
        <f t="array" aca="1" ref="L14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42" s="8">
        <f t="shared" ca="1" si="26"/>
        <v>15472</v>
      </c>
      <c r="N142" s="4" t="str" cm="1">
        <f t="array" aca="1" ref="N142" ca="1">INDEX({"New";"Repeat"}, RANDBETWEEN(1,2))</f>
        <v>New</v>
      </c>
      <c r="O142" s="4" t="str" cm="1">
        <f t="array" aca="1" ref="O142" ca="1">INDEX({"Loan";"Cash";"Lease"}, RANDBETWEEN(1,3))</f>
        <v>Lease</v>
      </c>
    </row>
    <row r="143" spans="1:15" x14ac:dyDescent="0.2">
      <c r="A143" s="4">
        <v>141</v>
      </c>
      <c r="B143" s="5">
        <f t="shared" ca="1" si="18"/>
        <v>45124</v>
      </c>
      <c r="C143" s="4" t="str" cm="1">
        <f t="array" aca="1" ref="C143" ca="1">INDEX({"Cochin";"Delhi";"Mumbai";"Pune";"Bengaluru"}, RANDBETWEEN(1,5))</f>
        <v>Mumbai</v>
      </c>
      <c r="D143" s="4" t="str" cm="1">
        <f t="array" aca="1" ref="D143" ca="1">INDEX({"C-Class";"E-Class";"S-Class";"GLA";"GLC";"GLE";"GLS";"EQB"}, RANDBETWEEN(1,8))</f>
        <v>GLE</v>
      </c>
      <c r="E143" s="4" t="str">
        <f t="shared" ca="1" si="19"/>
        <v>SUV</v>
      </c>
      <c r="F143" s="4">
        <f t="shared" ca="1" si="20"/>
        <v>5</v>
      </c>
      <c r="G143" s="8">
        <f t="shared" ca="1" si="21"/>
        <v>10445390</v>
      </c>
      <c r="H143" s="8">
        <f t="shared" ca="1" si="22"/>
        <v>52226950</v>
      </c>
      <c r="I143" s="8">
        <f t="shared" ca="1" si="23"/>
        <v>38647943</v>
      </c>
      <c r="J143" s="8">
        <f t="shared" ca="1" si="24"/>
        <v>13579007</v>
      </c>
      <c r="K143" s="6">
        <f t="shared" ca="1" si="25"/>
        <v>0.26</v>
      </c>
      <c r="L143" s="4" t="str" cm="1">
        <f t="array" aca="1" ref="L14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143" s="8">
        <f t="shared" ca="1" si="26"/>
        <v>16139</v>
      </c>
      <c r="N143" s="4" t="str" cm="1">
        <f t="array" aca="1" ref="N143" ca="1">INDEX({"New";"Repeat"}, RANDBETWEEN(1,2))</f>
        <v>New</v>
      </c>
      <c r="O143" s="4" t="str" cm="1">
        <f t="array" aca="1" ref="O143" ca="1">INDEX({"Loan";"Cash";"Lease"}, RANDBETWEEN(1,3))</f>
        <v>Lease</v>
      </c>
    </row>
    <row r="144" spans="1:15" x14ac:dyDescent="0.2">
      <c r="A144" s="4">
        <v>142</v>
      </c>
      <c r="B144" s="5">
        <f t="shared" ca="1" si="18"/>
        <v>45627</v>
      </c>
      <c r="C144" s="4" t="str" cm="1">
        <f t="array" aca="1" ref="C144" ca="1">INDEX({"Cochin";"Delhi";"Mumbai";"Pune";"Bengaluru"}, RANDBETWEEN(1,5))</f>
        <v>Bengaluru</v>
      </c>
      <c r="D144" s="4" t="str" cm="1">
        <f t="array" aca="1" ref="D144" ca="1">INDEX({"C-Class";"E-Class";"S-Class";"GLA";"GLC";"GLE";"GLS";"EQB"}, RANDBETWEEN(1,8))</f>
        <v>E-Class</v>
      </c>
      <c r="E144" s="4" t="str">
        <f t="shared" ca="1" si="19"/>
        <v>Sedan</v>
      </c>
      <c r="F144" s="4">
        <f t="shared" ca="1" si="20"/>
        <v>3</v>
      </c>
      <c r="G144" s="8">
        <f t="shared" ca="1" si="21"/>
        <v>9158913</v>
      </c>
      <c r="H144" s="8">
        <f t="shared" ca="1" si="22"/>
        <v>27476739</v>
      </c>
      <c r="I144" s="8">
        <f t="shared" ca="1" si="23"/>
        <v>20332786.859999999</v>
      </c>
      <c r="J144" s="8">
        <f t="shared" ca="1" si="24"/>
        <v>7143952.1400000006</v>
      </c>
      <c r="K144" s="6">
        <f t="shared" ca="1" si="25"/>
        <v>0.26</v>
      </c>
      <c r="L144" s="4" t="str" cm="1">
        <f t="array" aca="1" ref="L14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144" s="8">
        <f t="shared" ca="1" si="26"/>
        <v>7030</v>
      </c>
      <c r="N144" s="4" t="str" cm="1">
        <f t="array" aca="1" ref="N144" ca="1">INDEX({"New";"Repeat"}, RANDBETWEEN(1,2))</f>
        <v>Repeat</v>
      </c>
      <c r="O144" s="4" t="str" cm="1">
        <f t="array" aca="1" ref="O144" ca="1">INDEX({"Loan";"Cash";"Lease"}, RANDBETWEEN(1,3))</f>
        <v>Loan</v>
      </c>
    </row>
    <row r="145" spans="1:15" x14ac:dyDescent="0.2">
      <c r="A145" s="4">
        <v>143</v>
      </c>
      <c r="B145" s="5">
        <f t="shared" ca="1" si="18"/>
        <v>45110</v>
      </c>
      <c r="C145" s="4" t="str" cm="1">
        <f t="array" aca="1" ref="C145" ca="1">INDEX({"Cochin";"Delhi";"Mumbai";"Pune";"Bengaluru"}, RANDBETWEEN(1,5))</f>
        <v>Pune</v>
      </c>
      <c r="D145" s="4" t="str" cm="1">
        <f t="array" aca="1" ref="D145" ca="1">INDEX({"C-Class";"E-Class";"S-Class";"GLA";"GLC";"GLE";"GLS";"EQB"}, RANDBETWEEN(1,8))</f>
        <v>EQB</v>
      </c>
      <c r="E145" s="4" t="str">
        <f t="shared" ca="1" si="19"/>
        <v>EV</v>
      </c>
      <c r="F145" s="4">
        <f t="shared" ca="1" si="20"/>
        <v>5</v>
      </c>
      <c r="G145" s="8">
        <f t="shared" ca="1" si="21"/>
        <v>7473404</v>
      </c>
      <c r="H145" s="8">
        <f t="shared" ca="1" si="22"/>
        <v>37367020</v>
      </c>
      <c r="I145" s="8">
        <f t="shared" ca="1" si="23"/>
        <v>26530584.199999999</v>
      </c>
      <c r="J145" s="8">
        <f t="shared" ca="1" si="24"/>
        <v>10836435.800000001</v>
      </c>
      <c r="K145" s="6">
        <f t="shared" ca="1" si="25"/>
        <v>0.29000000000000004</v>
      </c>
      <c r="L145" s="4" t="str" cm="1">
        <f t="array" aca="1" ref="L14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45" s="8">
        <f t="shared" ca="1" si="26"/>
        <v>10170</v>
      </c>
      <c r="N145" s="4" t="str" cm="1">
        <f t="array" aca="1" ref="N145" ca="1">INDEX({"New";"Repeat"}, RANDBETWEEN(1,2))</f>
        <v>New</v>
      </c>
      <c r="O145" s="4" t="str" cm="1">
        <f t="array" aca="1" ref="O145" ca="1">INDEX({"Loan";"Cash";"Lease"}, RANDBETWEEN(1,3))</f>
        <v>Lease</v>
      </c>
    </row>
    <row r="146" spans="1:15" x14ac:dyDescent="0.2">
      <c r="A146" s="4">
        <v>144</v>
      </c>
      <c r="B146" s="5">
        <f t="shared" ca="1" si="18"/>
        <v>45594</v>
      </c>
      <c r="C146" s="4" t="str" cm="1">
        <f t="array" aca="1" ref="C146" ca="1">INDEX({"Cochin";"Delhi";"Mumbai";"Pune";"Bengaluru"}, RANDBETWEEN(1,5))</f>
        <v>Pune</v>
      </c>
      <c r="D146" s="4" t="str" cm="1">
        <f t="array" aca="1" ref="D146" ca="1">INDEX({"C-Class";"E-Class";"S-Class";"GLA";"GLC";"GLE";"GLS";"EQB"}, RANDBETWEEN(1,8))</f>
        <v>C-Class</v>
      </c>
      <c r="E146" s="4" t="str">
        <f t="shared" ca="1" si="19"/>
        <v>Sedan</v>
      </c>
      <c r="F146" s="4">
        <f t="shared" ca="1" si="20"/>
        <v>2</v>
      </c>
      <c r="G146" s="8">
        <f t="shared" ca="1" si="21"/>
        <v>6282265</v>
      </c>
      <c r="H146" s="8">
        <f t="shared" ca="1" si="22"/>
        <v>12564530</v>
      </c>
      <c r="I146" s="8">
        <f t="shared" ca="1" si="23"/>
        <v>10554205.199999999</v>
      </c>
      <c r="J146" s="8">
        <f t="shared" ca="1" si="24"/>
        <v>2010324.8000000007</v>
      </c>
      <c r="K146" s="6">
        <f t="shared" ca="1" si="25"/>
        <v>0.16000000000000006</v>
      </c>
      <c r="L146" s="4" t="str" cm="1">
        <f t="array" aca="1" ref="L14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46" s="8">
        <f t="shared" ca="1" si="26"/>
        <v>4767</v>
      </c>
      <c r="N146" s="4" t="str" cm="1">
        <f t="array" aca="1" ref="N146" ca="1">INDEX({"New";"Repeat"}, RANDBETWEEN(1,2))</f>
        <v>Repeat</v>
      </c>
      <c r="O146" s="4" t="str" cm="1">
        <f t="array" aca="1" ref="O146" ca="1">INDEX({"Loan";"Cash";"Lease"}, RANDBETWEEN(1,3))</f>
        <v>Loan</v>
      </c>
    </row>
    <row r="147" spans="1:15" x14ac:dyDescent="0.2">
      <c r="A147" s="4">
        <v>145</v>
      </c>
      <c r="B147" s="5">
        <f t="shared" ca="1" si="18"/>
        <v>45768</v>
      </c>
      <c r="C147" s="4" t="str" cm="1">
        <f t="array" aca="1" ref="C147" ca="1">INDEX({"Cochin";"Delhi";"Mumbai";"Pune";"Bengaluru"}, RANDBETWEEN(1,5))</f>
        <v>Mumbai</v>
      </c>
      <c r="D147" s="4" t="str" cm="1">
        <f t="array" aca="1" ref="D147" ca="1">INDEX({"C-Class";"E-Class";"S-Class";"GLA";"GLC";"GLE";"GLS";"EQB"}, RANDBETWEEN(1,8))</f>
        <v>S-Class</v>
      </c>
      <c r="E147" s="4" t="str">
        <f t="shared" ca="1" si="19"/>
        <v>Sedan</v>
      </c>
      <c r="F147" s="4">
        <f t="shared" ca="1" si="20"/>
        <v>2</v>
      </c>
      <c r="G147" s="8">
        <f t="shared" ca="1" si="21"/>
        <v>20078985</v>
      </c>
      <c r="H147" s="8">
        <f t="shared" ca="1" si="22"/>
        <v>40157970</v>
      </c>
      <c r="I147" s="8">
        <f t="shared" ca="1" si="23"/>
        <v>30921636.899999999</v>
      </c>
      <c r="J147" s="8">
        <f t="shared" ca="1" si="24"/>
        <v>9236333.1000000015</v>
      </c>
      <c r="K147" s="6">
        <f t="shared" ca="1" si="25"/>
        <v>0.23000000000000004</v>
      </c>
      <c r="L147" s="4" t="str" cm="1">
        <f t="array" aca="1" ref="L14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47" s="8">
        <f t="shared" ca="1" si="26"/>
        <v>16946</v>
      </c>
      <c r="N147" s="4" t="str" cm="1">
        <f t="array" aca="1" ref="N147" ca="1">INDEX({"New";"Repeat"}, RANDBETWEEN(1,2))</f>
        <v>New</v>
      </c>
      <c r="O147" s="4" t="str" cm="1">
        <f t="array" aca="1" ref="O147" ca="1">INDEX({"Loan";"Cash";"Lease"}, RANDBETWEEN(1,3))</f>
        <v>Loan</v>
      </c>
    </row>
    <row r="148" spans="1:15" x14ac:dyDescent="0.2">
      <c r="A148" s="4">
        <v>146</v>
      </c>
      <c r="B148" s="5">
        <f t="shared" ca="1" si="18"/>
        <v>45492</v>
      </c>
      <c r="C148" s="4" t="str" cm="1">
        <f t="array" aca="1" ref="C148" ca="1">INDEX({"Cochin";"Delhi";"Mumbai";"Pune";"Bengaluru"}, RANDBETWEEN(1,5))</f>
        <v>Pune</v>
      </c>
      <c r="D148" s="4" t="str" cm="1">
        <f t="array" aca="1" ref="D148" ca="1">INDEX({"C-Class";"E-Class";"S-Class";"GLA";"GLC";"GLE";"GLS";"EQB"}, RANDBETWEEN(1,8))</f>
        <v>C-Class</v>
      </c>
      <c r="E148" s="4" t="str">
        <f t="shared" ca="1" si="19"/>
        <v>Sedan</v>
      </c>
      <c r="F148" s="4">
        <f t="shared" ca="1" si="20"/>
        <v>2</v>
      </c>
      <c r="G148" s="8">
        <f t="shared" ca="1" si="21"/>
        <v>6609685</v>
      </c>
      <c r="H148" s="8">
        <f t="shared" ca="1" si="22"/>
        <v>13219370</v>
      </c>
      <c r="I148" s="8">
        <f t="shared" ca="1" si="23"/>
        <v>9253559</v>
      </c>
      <c r="J148" s="8">
        <f t="shared" ca="1" si="24"/>
        <v>3965811</v>
      </c>
      <c r="K148" s="6">
        <f t="shared" ca="1" si="25"/>
        <v>0.3</v>
      </c>
      <c r="L148" s="4" t="str" cm="1">
        <f t="array" aca="1" ref="L14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48" s="8">
        <f t="shared" ca="1" si="26"/>
        <v>22472</v>
      </c>
      <c r="N148" s="4" t="str" cm="1">
        <f t="array" aca="1" ref="N148" ca="1">INDEX({"New";"Repeat"}, RANDBETWEEN(1,2))</f>
        <v>New</v>
      </c>
      <c r="O148" s="4" t="str" cm="1">
        <f t="array" aca="1" ref="O148" ca="1">INDEX({"Loan";"Cash";"Lease"}, RANDBETWEEN(1,3))</f>
        <v>Cash</v>
      </c>
    </row>
    <row r="149" spans="1:15" x14ac:dyDescent="0.2">
      <c r="A149" s="4">
        <v>147</v>
      </c>
      <c r="B149" s="5">
        <f t="shared" ca="1" si="18"/>
        <v>45733</v>
      </c>
      <c r="C149" s="4" t="str" cm="1">
        <f t="array" aca="1" ref="C149" ca="1">INDEX({"Cochin";"Delhi";"Mumbai";"Pune";"Bengaluru"}, RANDBETWEEN(1,5))</f>
        <v>Mumbai</v>
      </c>
      <c r="D149" s="4" t="str" cm="1">
        <f t="array" aca="1" ref="D149" ca="1">INDEX({"C-Class";"E-Class";"S-Class";"GLA";"GLC";"GLE";"GLS";"EQB"}, RANDBETWEEN(1,8))</f>
        <v>GLC</v>
      </c>
      <c r="E149" s="4" t="str">
        <f t="shared" ca="1" si="19"/>
        <v>SUV</v>
      </c>
      <c r="F149" s="4">
        <f t="shared" ca="1" si="20"/>
        <v>3</v>
      </c>
      <c r="G149" s="8">
        <f t="shared" ca="1" si="21"/>
        <v>6959667</v>
      </c>
      <c r="H149" s="8">
        <f t="shared" ca="1" si="22"/>
        <v>20879001</v>
      </c>
      <c r="I149" s="8">
        <f t="shared" ca="1" si="23"/>
        <v>16076830.77</v>
      </c>
      <c r="J149" s="8">
        <f t="shared" ca="1" si="24"/>
        <v>4802170.2300000004</v>
      </c>
      <c r="K149" s="6">
        <f t="shared" ca="1" si="25"/>
        <v>0.23</v>
      </c>
      <c r="L149" s="4" t="str" cm="1">
        <f t="array" aca="1" ref="L14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49" s="8">
        <f t="shared" ca="1" si="26"/>
        <v>6187</v>
      </c>
      <c r="N149" s="4" t="str" cm="1">
        <f t="array" aca="1" ref="N149" ca="1">INDEX({"New";"Repeat"}, RANDBETWEEN(1,2))</f>
        <v>Repeat</v>
      </c>
      <c r="O149" s="4" t="str" cm="1">
        <f t="array" aca="1" ref="O149" ca="1">INDEX({"Loan";"Cash";"Lease"}, RANDBETWEEN(1,3))</f>
        <v>Lease</v>
      </c>
    </row>
    <row r="150" spans="1:15" x14ac:dyDescent="0.2">
      <c r="A150" s="4">
        <v>148</v>
      </c>
      <c r="B150" s="5">
        <f t="shared" ca="1" si="18"/>
        <v>45055</v>
      </c>
      <c r="C150" s="4" t="str" cm="1">
        <f t="array" aca="1" ref="C150" ca="1">INDEX({"Cochin";"Delhi";"Mumbai";"Pune";"Bengaluru"}, RANDBETWEEN(1,5))</f>
        <v>Bengaluru</v>
      </c>
      <c r="D150" s="4" t="str" cm="1">
        <f t="array" aca="1" ref="D150" ca="1">INDEX({"C-Class";"E-Class";"S-Class";"GLA";"GLC";"GLE";"GLS";"EQB"}, RANDBETWEEN(1,8))</f>
        <v>S-Class</v>
      </c>
      <c r="E150" s="4" t="str">
        <f t="shared" ca="1" si="19"/>
        <v>Sedan</v>
      </c>
      <c r="F150" s="4">
        <f t="shared" ca="1" si="20"/>
        <v>5</v>
      </c>
      <c r="G150" s="8">
        <f t="shared" ca="1" si="21"/>
        <v>20278490</v>
      </c>
      <c r="H150" s="8">
        <f t="shared" ca="1" si="22"/>
        <v>101392450</v>
      </c>
      <c r="I150" s="8">
        <f t="shared" ca="1" si="23"/>
        <v>83141809</v>
      </c>
      <c r="J150" s="8">
        <f t="shared" ca="1" si="24"/>
        <v>18250641</v>
      </c>
      <c r="K150" s="6">
        <f t="shared" ca="1" si="25"/>
        <v>0.18</v>
      </c>
      <c r="L150" s="4" t="str" cm="1">
        <f t="array" aca="1" ref="L15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50" s="8">
        <f t="shared" ca="1" si="26"/>
        <v>5035</v>
      </c>
      <c r="N150" s="4" t="str" cm="1">
        <f t="array" aca="1" ref="N150" ca="1">INDEX({"New";"Repeat"}, RANDBETWEEN(1,2))</f>
        <v>Repeat</v>
      </c>
      <c r="O150" s="4" t="str" cm="1">
        <f t="array" aca="1" ref="O150" ca="1">INDEX({"Loan";"Cash";"Lease"}, RANDBETWEEN(1,3))</f>
        <v>Cash</v>
      </c>
    </row>
    <row r="151" spans="1:15" x14ac:dyDescent="0.2">
      <c r="A151" s="4">
        <v>149</v>
      </c>
      <c r="B151" s="5">
        <f t="shared" ca="1" si="18"/>
        <v>44943</v>
      </c>
      <c r="C151" s="4" t="str" cm="1">
        <f t="array" aca="1" ref="C151" ca="1">INDEX({"Cochin";"Delhi";"Mumbai";"Pune";"Bengaluru"}, RANDBETWEEN(1,5))</f>
        <v>Mumbai</v>
      </c>
      <c r="D151" s="4" t="str" cm="1">
        <f t="array" aca="1" ref="D151" ca="1">INDEX({"C-Class";"E-Class";"S-Class";"GLA";"GLC";"GLE";"GLS";"EQB"}, RANDBETWEEN(1,8))</f>
        <v>GLS</v>
      </c>
      <c r="E151" s="4" t="str">
        <f t="shared" ca="1" si="19"/>
        <v>SUV</v>
      </c>
      <c r="F151" s="4">
        <f t="shared" ca="1" si="20"/>
        <v>5</v>
      </c>
      <c r="G151" s="8">
        <f t="shared" ca="1" si="21"/>
        <v>17497363</v>
      </c>
      <c r="H151" s="8">
        <f t="shared" ca="1" si="22"/>
        <v>87486815</v>
      </c>
      <c r="I151" s="8">
        <f t="shared" ca="1" si="23"/>
        <v>73488924.599999994</v>
      </c>
      <c r="J151" s="8">
        <f t="shared" ca="1" si="24"/>
        <v>13997890.400000006</v>
      </c>
      <c r="K151" s="6">
        <f t="shared" ca="1" si="25"/>
        <v>0.16000000000000006</v>
      </c>
      <c r="L151" s="4" t="str" cm="1">
        <f t="array" aca="1" ref="L15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51" s="8">
        <f t="shared" ca="1" si="26"/>
        <v>5204</v>
      </c>
      <c r="N151" s="4" t="str" cm="1">
        <f t="array" aca="1" ref="N151" ca="1">INDEX({"New";"Repeat"}, RANDBETWEEN(1,2))</f>
        <v>Repeat</v>
      </c>
      <c r="O151" s="4" t="str" cm="1">
        <f t="array" aca="1" ref="O151" ca="1">INDEX({"Loan";"Cash";"Lease"}, RANDBETWEEN(1,3))</f>
        <v>Lease</v>
      </c>
    </row>
    <row r="152" spans="1:15" x14ac:dyDescent="0.2">
      <c r="A152" s="4">
        <v>150</v>
      </c>
      <c r="B152" s="5">
        <f t="shared" ca="1" si="18"/>
        <v>45838</v>
      </c>
      <c r="C152" s="4" t="str" cm="1">
        <f t="array" aca="1" ref="C152" ca="1">INDEX({"Cochin";"Delhi";"Mumbai";"Pune";"Bengaluru"}, RANDBETWEEN(1,5))</f>
        <v>Pune</v>
      </c>
      <c r="D152" s="4" t="str" cm="1">
        <f t="array" aca="1" ref="D152" ca="1">INDEX({"C-Class";"E-Class";"S-Class";"GLA";"GLC";"GLE";"GLS";"EQB"}, RANDBETWEEN(1,8))</f>
        <v>GLE</v>
      </c>
      <c r="E152" s="4" t="str">
        <f t="shared" ca="1" si="19"/>
        <v>SUV</v>
      </c>
      <c r="F152" s="4">
        <f t="shared" ca="1" si="20"/>
        <v>1</v>
      </c>
      <c r="G152" s="8">
        <f t="shared" ca="1" si="21"/>
        <v>11359674</v>
      </c>
      <c r="H152" s="8">
        <f t="shared" ca="1" si="22"/>
        <v>11359674</v>
      </c>
      <c r="I152" s="8">
        <f t="shared" ca="1" si="23"/>
        <v>9542126.1600000001</v>
      </c>
      <c r="J152" s="8">
        <f t="shared" ca="1" si="24"/>
        <v>1817547.8399999999</v>
      </c>
      <c r="K152" s="6">
        <f t="shared" ca="1" si="25"/>
        <v>0.15999999999999998</v>
      </c>
      <c r="L152" s="4" t="str" cm="1">
        <f t="array" aca="1" ref="L15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152" s="8">
        <f t="shared" ca="1" si="26"/>
        <v>14414</v>
      </c>
      <c r="N152" s="4" t="str" cm="1">
        <f t="array" aca="1" ref="N152" ca="1">INDEX({"New";"Repeat"}, RANDBETWEEN(1,2))</f>
        <v>New</v>
      </c>
      <c r="O152" s="4" t="str" cm="1">
        <f t="array" aca="1" ref="O152" ca="1">INDEX({"Loan";"Cash";"Lease"}, RANDBETWEEN(1,3))</f>
        <v>Lease</v>
      </c>
    </row>
    <row r="153" spans="1:15" x14ac:dyDescent="0.2">
      <c r="A153" s="4">
        <v>151</v>
      </c>
      <c r="B153" s="5">
        <f t="shared" ca="1" si="18"/>
        <v>45639</v>
      </c>
      <c r="C153" s="4" t="str" cm="1">
        <f t="array" aca="1" ref="C153" ca="1">INDEX({"Cochin";"Delhi";"Mumbai";"Pune";"Bengaluru"}, RANDBETWEEN(1,5))</f>
        <v>Cochin</v>
      </c>
      <c r="D153" s="4" t="str" cm="1">
        <f t="array" aca="1" ref="D153" ca="1">INDEX({"C-Class";"E-Class";"S-Class";"GLA";"GLC";"GLE";"GLS";"EQB"}, RANDBETWEEN(1,8))</f>
        <v>S-Class</v>
      </c>
      <c r="E153" s="4" t="str">
        <f t="shared" ca="1" si="19"/>
        <v>Sedan</v>
      </c>
      <c r="F153" s="4">
        <f t="shared" ca="1" si="20"/>
        <v>4</v>
      </c>
      <c r="G153" s="8">
        <f t="shared" ca="1" si="21"/>
        <v>21012221</v>
      </c>
      <c r="H153" s="8">
        <f t="shared" ca="1" si="22"/>
        <v>84048884</v>
      </c>
      <c r="I153" s="8">
        <f t="shared" ca="1" si="23"/>
        <v>68079596.040000007</v>
      </c>
      <c r="J153" s="8">
        <f t="shared" ca="1" si="24"/>
        <v>15969287.959999993</v>
      </c>
      <c r="K153" s="6">
        <f t="shared" ca="1" si="25"/>
        <v>0.18999999999999992</v>
      </c>
      <c r="L153" s="4" t="str" cm="1">
        <f t="array" aca="1" ref="L15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53" s="8">
        <f t="shared" ca="1" si="26"/>
        <v>4718</v>
      </c>
      <c r="N153" s="4" t="str" cm="1">
        <f t="array" aca="1" ref="N153" ca="1">INDEX({"New";"Repeat"}, RANDBETWEEN(1,2))</f>
        <v>Repeat</v>
      </c>
      <c r="O153" s="4" t="str" cm="1">
        <f t="array" aca="1" ref="O153" ca="1">INDEX({"Loan";"Cash";"Lease"}, RANDBETWEEN(1,3))</f>
        <v>Lease</v>
      </c>
    </row>
    <row r="154" spans="1:15" x14ac:dyDescent="0.2">
      <c r="A154" s="4">
        <v>152</v>
      </c>
      <c r="B154" s="5">
        <f t="shared" ca="1" si="18"/>
        <v>45735</v>
      </c>
      <c r="C154" s="4" t="str" cm="1">
        <f t="array" aca="1" ref="C154" ca="1">INDEX({"Cochin";"Delhi";"Mumbai";"Pune";"Bengaluru"}, RANDBETWEEN(1,5))</f>
        <v>Bengaluru</v>
      </c>
      <c r="D154" s="4" t="str" cm="1">
        <f t="array" aca="1" ref="D154" ca="1">INDEX({"C-Class";"E-Class";"S-Class";"GLA";"GLC";"GLE";"GLS";"EQB"}, RANDBETWEEN(1,8))</f>
        <v>C-Class</v>
      </c>
      <c r="E154" s="4" t="str">
        <f t="shared" ca="1" si="19"/>
        <v>Sedan</v>
      </c>
      <c r="F154" s="4">
        <f t="shared" ca="1" si="20"/>
        <v>4</v>
      </c>
      <c r="G154" s="8">
        <f t="shared" ca="1" si="21"/>
        <v>5564353</v>
      </c>
      <c r="H154" s="8">
        <f t="shared" ca="1" si="22"/>
        <v>22257412</v>
      </c>
      <c r="I154" s="8">
        <f t="shared" ca="1" si="23"/>
        <v>18028503.719999999</v>
      </c>
      <c r="J154" s="8">
        <f t="shared" ca="1" si="24"/>
        <v>4228908.2800000012</v>
      </c>
      <c r="K154" s="6">
        <f t="shared" ca="1" si="25"/>
        <v>0.19000000000000006</v>
      </c>
      <c r="L154" s="4" t="str" cm="1">
        <f t="array" aca="1" ref="L15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54" s="8">
        <f t="shared" ca="1" si="26"/>
        <v>14036</v>
      </c>
      <c r="N154" s="4" t="str" cm="1">
        <f t="array" aca="1" ref="N154" ca="1">INDEX({"New";"Repeat"}, RANDBETWEEN(1,2))</f>
        <v>New</v>
      </c>
      <c r="O154" s="4" t="str" cm="1">
        <f t="array" aca="1" ref="O154" ca="1">INDEX({"Loan";"Cash";"Lease"}, RANDBETWEEN(1,3))</f>
        <v>Lease</v>
      </c>
    </row>
    <row r="155" spans="1:15" x14ac:dyDescent="0.2">
      <c r="A155" s="4">
        <v>153</v>
      </c>
      <c r="B155" s="5">
        <f t="shared" ca="1" si="18"/>
        <v>45741</v>
      </c>
      <c r="C155" s="4" t="str" cm="1">
        <f t="array" aca="1" ref="C155" ca="1">INDEX({"Cochin";"Delhi";"Mumbai";"Pune";"Bengaluru"}, RANDBETWEEN(1,5))</f>
        <v>Delhi</v>
      </c>
      <c r="D155" s="4" t="str" cm="1">
        <f t="array" aca="1" ref="D155" ca="1">INDEX({"C-Class";"E-Class";"S-Class";"GLA";"GLC";"GLE";"GLS";"EQB"}, RANDBETWEEN(1,8))</f>
        <v>GLE</v>
      </c>
      <c r="E155" s="4" t="str">
        <f t="shared" ca="1" si="19"/>
        <v>SUV</v>
      </c>
      <c r="F155" s="4">
        <f t="shared" ca="1" si="20"/>
        <v>1</v>
      </c>
      <c r="G155" s="8">
        <f t="shared" ca="1" si="21"/>
        <v>11494200</v>
      </c>
      <c r="H155" s="8">
        <f t="shared" ca="1" si="22"/>
        <v>11494200</v>
      </c>
      <c r="I155" s="8">
        <f t="shared" ca="1" si="23"/>
        <v>8620650</v>
      </c>
      <c r="J155" s="8">
        <f t="shared" ca="1" si="24"/>
        <v>2873550</v>
      </c>
      <c r="K155" s="6">
        <f t="shared" ca="1" si="25"/>
        <v>0.25</v>
      </c>
      <c r="L155" s="4" t="str" cm="1">
        <f t="array" aca="1" ref="L155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155" s="8">
        <f t="shared" ca="1" si="26"/>
        <v>7475</v>
      </c>
      <c r="N155" s="4" t="str" cm="1">
        <f t="array" aca="1" ref="N155" ca="1">INDEX({"New";"Repeat"}, RANDBETWEEN(1,2))</f>
        <v>Repeat</v>
      </c>
      <c r="O155" s="4" t="str" cm="1">
        <f t="array" aca="1" ref="O155" ca="1">INDEX({"Loan";"Cash";"Lease"}, RANDBETWEEN(1,3))</f>
        <v>Lease</v>
      </c>
    </row>
    <row r="156" spans="1:15" x14ac:dyDescent="0.2">
      <c r="A156" s="4">
        <v>154</v>
      </c>
      <c r="B156" s="5">
        <f t="shared" ca="1" si="18"/>
        <v>45433</v>
      </c>
      <c r="C156" s="4" t="str" cm="1">
        <f t="array" aca="1" ref="C156" ca="1">INDEX({"Cochin";"Delhi";"Mumbai";"Pune";"Bengaluru"}, RANDBETWEEN(1,5))</f>
        <v>Pune</v>
      </c>
      <c r="D156" s="4" t="str" cm="1">
        <f t="array" aca="1" ref="D156" ca="1">INDEX({"C-Class";"E-Class";"S-Class";"GLA";"GLC";"GLE";"GLS";"EQB"}, RANDBETWEEN(1,8))</f>
        <v>GLS</v>
      </c>
      <c r="E156" s="4" t="str">
        <f t="shared" ca="1" si="19"/>
        <v>SUV</v>
      </c>
      <c r="F156" s="4">
        <f t="shared" ca="1" si="20"/>
        <v>2</v>
      </c>
      <c r="G156" s="8">
        <f t="shared" ca="1" si="21"/>
        <v>16432093</v>
      </c>
      <c r="H156" s="8">
        <f t="shared" ca="1" si="22"/>
        <v>32864186</v>
      </c>
      <c r="I156" s="8">
        <f t="shared" ca="1" si="23"/>
        <v>25634065.079999998</v>
      </c>
      <c r="J156" s="8">
        <f t="shared" ca="1" si="24"/>
        <v>7230120.9200000018</v>
      </c>
      <c r="K156" s="6">
        <f t="shared" ca="1" si="25"/>
        <v>0.22000000000000006</v>
      </c>
      <c r="L156" s="4" t="str" cm="1">
        <f t="array" aca="1" ref="L156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56" s="8">
        <f t="shared" ca="1" si="26"/>
        <v>4977</v>
      </c>
      <c r="N156" s="4" t="str" cm="1">
        <f t="array" aca="1" ref="N156" ca="1">INDEX({"New";"Repeat"}, RANDBETWEEN(1,2))</f>
        <v>Repeat</v>
      </c>
      <c r="O156" s="4" t="str" cm="1">
        <f t="array" aca="1" ref="O156" ca="1">INDEX({"Loan";"Cash";"Lease"}, RANDBETWEEN(1,3))</f>
        <v>Loan</v>
      </c>
    </row>
    <row r="157" spans="1:15" x14ac:dyDescent="0.2">
      <c r="A157" s="4">
        <v>155</v>
      </c>
      <c r="B157" s="5">
        <f t="shared" ca="1" si="18"/>
        <v>45774</v>
      </c>
      <c r="C157" s="4" t="str" cm="1">
        <f t="array" aca="1" ref="C157" ca="1">INDEX({"Cochin";"Delhi";"Mumbai";"Pune";"Bengaluru"}, RANDBETWEEN(1,5))</f>
        <v>Bengaluru</v>
      </c>
      <c r="D157" s="4" t="str" cm="1">
        <f t="array" aca="1" ref="D157" ca="1">INDEX({"C-Class";"E-Class";"S-Class";"GLA";"GLC";"GLE";"GLS";"EQB"}, RANDBETWEEN(1,8))</f>
        <v>EQB</v>
      </c>
      <c r="E157" s="4" t="str">
        <f t="shared" ca="1" si="19"/>
        <v>EV</v>
      </c>
      <c r="F157" s="4">
        <f t="shared" ca="1" si="20"/>
        <v>4</v>
      </c>
      <c r="G157" s="8">
        <f t="shared" ca="1" si="21"/>
        <v>7463569</v>
      </c>
      <c r="H157" s="8">
        <f t="shared" ca="1" si="22"/>
        <v>29854276</v>
      </c>
      <c r="I157" s="8">
        <f t="shared" ca="1" si="23"/>
        <v>21495078.719999999</v>
      </c>
      <c r="J157" s="8">
        <f t="shared" ca="1" si="24"/>
        <v>8359197.2800000012</v>
      </c>
      <c r="K157" s="6">
        <f t="shared" ca="1" si="25"/>
        <v>0.28000000000000003</v>
      </c>
      <c r="L157" s="4" t="str" cm="1">
        <f t="array" aca="1" ref="L15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157" s="8">
        <f t="shared" ca="1" si="26"/>
        <v>4329</v>
      </c>
      <c r="N157" s="4" t="str" cm="1">
        <f t="array" aca="1" ref="N157" ca="1">INDEX({"New";"Repeat"}, RANDBETWEEN(1,2))</f>
        <v>Repeat</v>
      </c>
      <c r="O157" s="4" t="str" cm="1">
        <f t="array" aca="1" ref="O157" ca="1">INDEX({"Loan";"Cash";"Lease"}, RANDBETWEEN(1,3))</f>
        <v>Lease</v>
      </c>
    </row>
    <row r="158" spans="1:15" x14ac:dyDescent="0.2">
      <c r="A158" s="4">
        <v>156</v>
      </c>
      <c r="B158" s="5">
        <f t="shared" ca="1" si="18"/>
        <v>45294</v>
      </c>
      <c r="C158" s="4" t="str" cm="1">
        <f t="array" aca="1" ref="C158" ca="1">INDEX({"Cochin";"Delhi";"Mumbai";"Pune";"Bengaluru"}, RANDBETWEEN(1,5))</f>
        <v>Bengaluru</v>
      </c>
      <c r="D158" s="4" t="str" cm="1">
        <f t="array" aca="1" ref="D158" ca="1">INDEX({"C-Class";"E-Class";"S-Class";"GLA";"GLC";"GLE";"GLS";"EQB"}, RANDBETWEEN(1,8))</f>
        <v>EQB</v>
      </c>
      <c r="E158" s="4" t="str">
        <f t="shared" ca="1" si="19"/>
        <v>EV</v>
      </c>
      <c r="F158" s="4">
        <f t="shared" ca="1" si="20"/>
        <v>2</v>
      </c>
      <c r="G158" s="8">
        <f t="shared" ca="1" si="21"/>
        <v>7462816</v>
      </c>
      <c r="H158" s="8">
        <f t="shared" ca="1" si="22"/>
        <v>14925632</v>
      </c>
      <c r="I158" s="8">
        <f t="shared" ca="1" si="23"/>
        <v>12537530.880000001</v>
      </c>
      <c r="J158" s="8">
        <f t="shared" ca="1" si="24"/>
        <v>2388101.1199999992</v>
      </c>
      <c r="K158" s="6">
        <f t="shared" ca="1" si="25"/>
        <v>0.15999999999999995</v>
      </c>
      <c r="L158" s="4" t="str" cm="1">
        <f t="array" aca="1" ref="L15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58" s="8">
        <f t="shared" ca="1" si="26"/>
        <v>24358</v>
      </c>
      <c r="N158" s="4" t="str" cm="1">
        <f t="array" aca="1" ref="N158" ca="1">INDEX({"New";"Repeat"}, RANDBETWEEN(1,2))</f>
        <v>New</v>
      </c>
      <c r="O158" s="4" t="str" cm="1">
        <f t="array" aca="1" ref="O158" ca="1">INDEX({"Loan";"Cash";"Lease"}, RANDBETWEEN(1,3))</f>
        <v>Lease</v>
      </c>
    </row>
    <row r="159" spans="1:15" x14ac:dyDescent="0.2">
      <c r="A159" s="4">
        <v>157</v>
      </c>
      <c r="B159" s="5">
        <f t="shared" ca="1" si="18"/>
        <v>45895</v>
      </c>
      <c r="C159" s="4" t="str" cm="1">
        <f t="array" aca="1" ref="C159" ca="1">INDEX({"Cochin";"Delhi";"Mumbai";"Pune";"Bengaluru"}, RANDBETWEEN(1,5))</f>
        <v>Pune</v>
      </c>
      <c r="D159" s="4" t="str" cm="1">
        <f t="array" aca="1" ref="D159" ca="1">INDEX({"C-Class";"E-Class";"S-Class";"GLA";"GLC";"GLE";"GLS";"EQB"}, RANDBETWEEN(1,8))</f>
        <v>GLC</v>
      </c>
      <c r="E159" s="4" t="str">
        <f t="shared" ca="1" si="19"/>
        <v>SUV</v>
      </c>
      <c r="F159" s="4">
        <f t="shared" ca="1" si="20"/>
        <v>3</v>
      </c>
      <c r="G159" s="8">
        <f t="shared" ca="1" si="21"/>
        <v>7214236</v>
      </c>
      <c r="H159" s="8">
        <f t="shared" ca="1" si="22"/>
        <v>21642708</v>
      </c>
      <c r="I159" s="8">
        <f t="shared" ca="1" si="23"/>
        <v>18179874.719999999</v>
      </c>
      <c r="J159" s="8">
        <f t="shared" ca="1" si="24"/>
        <v>3462833.2800000012</v>
      </c>
      <c r="K159" s="6">
        <f t="shared" ca="1" si="25"/>
        <v>0.16000000000000006</v>
      </c>
      <c r="L159" s="4" t="str" cm="1">
        <f t="array" aca="1" ref="L15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59" s="8">
        <f t="shared" ca="1" si="26"/>
        <v>20718</v>
      </c>
      <c r="N159" s="4" t="str" cm="1">
        <f t="array" aca="1" ref="N159" ca="1">INDEX({"New";"Repeat"}, RANDBETWEEN(1,2))</f>
        <v>New</v>
      </c>
      <c r="O159" s="4" t="str" cm="1">
        <f t="array" aca="1" ref="O159" ca="1">INDEX({"Loan";"Cash";"Lease"}, RANDBETWEEN(1,3))</f>
        <v>Lease</v>
      </c>
    </row>
    <row r="160" spans="1:15" x14ac:dyDescent="0.2">
      <c r="A160" s="4">
        <v>158</v>
      </c>
      <c r="B160" s="5">
        <f t="shared" ca="1" si="18"/>
        <v>44944</v>
      </c>
      <c r="C160" s="4" t="str" cm="1">
        <f t="array" aca="1" ref="C160" ca="1">INDEX({"Cochin";"Delhi";"Mumbai";"Pune";"Bengaluru"}, RANDBETWEEN(1,5))</f>
        <v>Pune</v>
      </c>
      <c r="D160" s="4" t="str" cm="1">
        <f t="array" aca="1" ref="D160" ca="1">INDEX({"C-Class";"E-Class";"S-Class";"GLA";"GLC";"GLE";"GLS";"EQB"}, RANDBETWEEN(1,8))</f>
        <v>E-Class</v>
      </c>
      <c r="E160" s="4" t="str">
        <f t="shared" ca="1" si="19"/>
        <v>Sedan</v>
      </c>
      <c r="F160" s="4">
        <f t="shared" ca="1" si="20"/>
        <v>4</v>
      </c>
      <c r="G160" s="8">
        <f t="shared" ca="1" si="21"/>
        <v>8493330</v>
      </c>
      <c r="H160" s="8">
        <f t="shared" ca="1" si="22"/>
        <v>33973320</v>
      </c>
      <c r="I160" s="8">
        <f t="shared" ca="1" si="23"/>
        <v>25479990</v>
      </c>
      <c r="J160" s="8">
        <f t="shared" ca="1" si="24"/>
        <v>8493330</v>
      </c>
      <c r="K160" s="6">
        <f t="shared" ca="1" si="25"/>
        <v>0.25</v>
      </c>
      <c r="L160" s="4" t="str" cm="1">
        <f t="array" aca="1" ref="L16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60" s="8">
        <f t="shared" ca="1" si="26"/>
        <v>7551</v>
      </c>
      <c r="N160" s="4" t="str" cm="1">
        <f t="array" aca="1" ref="N160" ca="1">INDEX({"New";"Repeat"}, RANDBETWEEN(1,2))</f>
        <v>Repeat</v>
      </c>
      <c r="O160" s="4" t="str" cm="1">
        <f t="array" aca="1" ref="O160" ca="1">INDEX({"Loan";"Cash";"Lease"}, RANDBETWEEN(1,3))</f>
        <v>Cash</v>
      </c>
    </row>
    <row r="161" spans="1:15" x14ac:dyDescent="0.2">
      <c r="A161" s="4">
        <v>159</v>
      </c>
      <c r="B161" s="5">
        <f t="shared" ca="1" si="18"/>
        <v>45445</v>
      </c>
      <c r="C161" s="4" t="str" cm="1">
        <f t="array" aca="1" ref="C161" ca="1">INDEX({"Cochin";"Delhi";"Mumbai";"Pune";"Bengaluru"}, RANDBETWEEN(1,5))</f>
        <v>Pune</v>
      </c>
      <c r="D161" s="4" t="str" cm="1">
        <f t="array" aca="1" ref="D161" ca="1">INDEX({"C-Class";"E-Class";"S-Class";"GLA";"GLC";"GLE";"GLS";"EQB"}, RANDBETWEEN(1,8))</f>
        <v>GLS</v>
      </c>
      <c r="E161" s="4" t="str">
        <f t="shared" ca="1" si="19"/>
        <v>SUV</v>
      </c>
      <c r="F161" s="4">
        <f t="shared" ca="1" si="20"/>
        <v>5</v>
      </c>
      <c r="G161" s="8">
        <f t="shared" ca="1" si="21"/>
        <v>15298848</v>
      </c>
      <c r="H161" s="8">
        <f t="shared" ca="1" si="22"/>
        <v>76494240</v>
      </c>
      <c r="I161" s="8">
        <f t="shared" ca="1" si="23"/>
        <v>55840795.200000003</v>
      </c>
      <c r="J161" s="8">
        <f t="shared" ca="1" si="24"/>
        <v>20653444.799999997</v>
      </c>
      <c r="K161" s="6">
        <f t="shared" ca="1" si="25"/>
        <v>0.26999999999999996</v>
      </c>
      <c r="L161" s="4" t="str" cm="1">
        <f t="array" aca="1" ref="L16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61" s="8">
        <f t="shared" ca="1" si="26"/>
        <v>22832</v>
      </c>
      <c r="N161" s="4" t="str" cm="1">
        <f t="array" aca="1" ref="N161" ca="1">INDEX({"New";"Repeat"}, RANDBETWEEN(1,2))</f>
        <v>New</v>
      </c>
      <c r="O161" s="4" t="str" cm="1">
        <f t="array" aca="1" ref="O161" ca="1">INDEX({"Loan";"Cash";"Lease"}, RANDBETWEEN(1,3))</f>
        <v>Lease</v>
      </c>
    </row>
    <row r="162" spans="1:15" x14ac:dyDescent="0.2">
      <c r="A162" s="4">
        <v>160</v>
      </c>
      <c r="B162" s="5">
        <f t="shared" ca="1" si="18"/>
        <v>45205</v>
      </c>
      <c r="C162" s="4" t="str" cm="1">
        <f t="array" aca="1" ref="C162" ca="1">INDEX({"Cochin";"Delhi";"Mumbai";"Pune";"Bengaluru"}, RANDBETWEEN(1,5))</f>
        <v>Delhi</v>
      </c>
      <c r="D162" s="4" t="str" cm="1">
        <f t="array" aca="1" ref="D162" ca="1">INDEX({"C-Class";"E-Class";"S-Class";"GLA";"GLC";"GLE";"GLS";"EQB"}, RANDBETWEEN(1,8))</f>
        <v>C-Class</v>
      </c>
      <c r="E162" s="4" t="str">
        <f t="shared" ca="1" si="19"/>
        <v>Sedan</v>
      </c>
      <c r="F162" s="4">
        <f t="shared" ca="1" si="20"/>
        <v>5</v>
      </c>
      <c r="G162" s="8">
        <f t="shared" ca="1" si="21"/>
        <v>5862499</v>
      </c>
      <c r="H162" s="8">
        <f t="shared" ca="1" si="22"/>
        <v>29312495</v>
      </c>
      <c r="I162" s="8">
        <f t="shared" ca="1" si="23"/>
        <v>24915620.75</v>
      </c>
      <c r="J162" s="8">
        <f t="shared" ca="1" si="24"/>
        <v>4396874.25</v>
      </c>
      <c r="K162" s="6">
        <f t="shared" ca="1" si="25"/>
        <v>0.15</v>
      </c>
      <c r="L162" s="4" t="str" cm="1">
        <f t="array" aca="1" ref="L16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162" s="8">
        <f t="shared" ca="1" si="26"/>
        <v>10467</v>
      </c>
      <c r="N162" s="4" t="str" cm="1">
        <f t="array" aca="1" ref="N162" ca="1">INDEX({"New";"Repeat"}, RANDBETWEEN(1,2))</f>
        <v>New</v>
      </c>
      <c r="O162" s="4" t="str" cm="1">
        <f t="array" aca="1" ref="O162" ca="1">INDEX({"Loan";"Cash";"Lease"}, RANDBETWEEN(1,3))</f>
        <v>Lease</v>
      </c>
    </row>
    <row r="163" spans="1:15" x14ac:dyDescent="0.2">
      <c r="A163" s="4">
        <v>161</v>
      </c>
      <c r="B163" s="5">
        <f t="shared" ca="1" si="18"/>
        <v>45483</v>
      </c>
      <c r="C163" s="4" t="str" cm="1">
        <f t="array" aca="1" ref="C163" ca="1">INDEX({"Cochin";"Delhi";"Mumbai";"Pune";"Bengaluru"}, RANDBETWEEN(1,5))</f>
        <v>Cochin</v>
      </c>
      <c r="D163" s="4" t="str" cm="1">
        <f t="array" aca="1" ref="D163" ca="1">INDEX({"C-Class";"E-Class";"S-Class";"GLA";"GLC";"GLE";"GLS";"EQB"}, RANDBETWEEN(1,8))</f>
        <v>GLS</v>
      </c>
      <c r="E163" s="4" t="str">
        <f t="shared" ca="1" si="19"/>
        <v>SUV</v>
      </c>
      <c r="F163" s="4">
        <f t="shared" ca="1" si="20"/>
        <v>2</v>
      </c>
      <c r="G163" s="8">
        <f t="shared" ca="1" si="21"/>
        <v>14747765</v>
      </c>
      <c r="H163" s="8">
        <f t="shared" ca="1" si="22"/>
        <v>29495530</v>
      </c>
      <c r="I163" s="8">
        <f t="shared" ca="1" si="23"/>
        <v>24481289.899999999</v>
      </c>
      <c r="J163" s="8">
        <f t="shared" ca="1" si="24"/>
        <v>5014240.1000000015</v>
      </c>
      <c r="K163" s="6">
        <f t="shared" ca="1" si="25"/>
        <v>0.17000000000000004</v>
      </c>
      <c r="L163" s="4" t="str" cm="1">
        <f t="array" aca="1" ref="L16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63" s="8">
        <f t="shared" ca="1" si="26"/>
        <v>16434</v>
      </c>
      <c r="N163" s="4" t="str" cm="1">
        <f t="array" aca="1" ref="N163" ca="1">INDEX({"New";"Repeat"}, RANDBETWEEN(1,2))</f>
        <v>New</v>
      </c>
      <c r="O163" s="4" t="str" cm="1">
        <f t="array" aca="1" ref="O163" ca="1">INDEX({"Loan";"Cash";"Lease"}, RANDBETWEEN(1,3))</f>
        <v>Loan</v>
      </c>
    </row>
    <row r="164" spans="1:15" x14ac:dyDescent="0.2">
      <c r="A164" s="4">
        <v>162</v>
      </c>
      <c r="B164" s="5">
        <f t="shared" ca="1" si="18"/>
        <v>44937</v>
      </c>
      <c r="C164" s="4" t="str" cm="1">
        <f t="array" aca="1" ref="C164" ca="1">INDEX({"Cochin";"Delhi";"Mumbai";"Pune";"Bengaluru"}, RANDBETWEEN(1,5))</f>
        <v>Cochin</v>
      </c>
      <c r="D164" s="4" t="str" cm="1">
        <f t="array" aca="1" ref="D164" ca="1">INDEX({"C-Class";"E-Class";"S-Class";"GLA";"GLC";"GLE";"GLS";"EQB"}, RANDBETWEEN(1,8))</f>
        <v>S-Class</v>
      </c>
      <c r="E164" s="4" t="str">
        <f t="shared" ca="1" si="19"/>
        <v>Sedan</v>
      </c>
      <c r="F164" s="4">
        <f t="shared" ca="1" si="20"/>
        <v>4</v>
      </c>
      <c r="G164" s="8">
        <f t="shared" ca="1" si="21"/>
        <v>16573924</v>
      </c>
      <c r="H164" s="8">
        <f t="shared" ca="1" si="22"/>
        <v>66295696</v>
      </c>
      <c r="I164" s="8">
        <f t="shared" ca="1" si="23"/>
        <v>47732901.119999997</v>
      </c>
      <c r="J164" s="8">
        <f t="shared" ca="1" si="24"/>
        <v>18562794.880000003</v>
      </c>
      <c r="K164" s="6">
        <f t="shared" ca="1" si="25"/>
        <v>0.28000000000000003</v>
      </c>
      <c r="L164" s="4" t="str" cm="1">
        <f t="array" aca="1" ref="L16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64" s="8">
        <f t="shared" ca="1" si="26"/>
        <v>7799</v>
      </c>
      <c r="N164" s="4" t="str" cm="1">
        <f t="array" aca="1" ref="N164" ca="1">INDEX({"New";"Repeat"}, RANDBETWEEN(1,2))</f>
        <v>Repeat</v>
      </c>
      <c r="O164" s="4" t="str" cm="1">
        <f t="array" aca="1" ref="O164" ca="1">INDEX({"Loan";"Cash";"Lease"}, RANDBETWEEN(1,3))</f>
        <v>Loan</v>
      </c>
    </row>
    <row r="165" spans="1:15" x14ac:dyDescent="0.2">
      <c r="A165" s="4">
        <v>163</v>
      </c>
      <c r="B165" s="5">
        <f t="shared" ca="1" si="18"/>
        <v>45232</v>
      </c>
      <c r="C165" s="4" t="str" cm="1">
        <f t="array" aca="1" ref="C165" ca="1">INDEX({"Cochin";"Delhi";"Mumbai";"Pune";"Bengaluru"}, RANDBETWEEN(1,5))</f>
        <v>Pune</v>
      </c>
      <c r="D165" s="4" t="str" cm="1">
        <f t="array" aca="1" ref="D165" ca="1">INDEX({"C-Class";"E-Class";"S-Class";"GLA";"GLC";"GLE";"GLS";"EQB"}, RANDBETWEEN(1,8))</f>
        <v>C-Class</v>
      </c>
      <c r="E165" s="4" t="str">
        <f t="shared" ca="1" si="19"/>
        <v>Sedan</v>
      </c>
      <c r="F165" s="4">
        <f t="shared" ca="1" si="20"/>
        <v>5</v>
      </c>
      <c r="G165" s="8">
        <f t="shared" ca="1" si="21"/>
        <v>5860357</v>
      </c>
      <c r="H165" s="8">
        <f t="shared" ca="1" si="22"/>
        <v>29301785</v>
      </c>
      <c r="I165" s="8">
        <f t="shared" ca="1" si="23"/>
        <v>24027463.699999999</v>
      </c>
      <c r="J165" s="8">
        <f t="shared" ca="1" si="24"/>
        <v>5274321.3000000007</v>
      </c>
      <c r="K165" s="6">
        <f t="shared" ca="1" si="25"/>
        <v>0.18000000000000002</v>
      </c>
      <c r="L165" s="4" t="str" cm="1">
        <f t="array" aca="1" ref="L16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65" s="8">
        <f t="shared" ca="1" si="26"/>
        <v>14135</v>
      </c>
      <c r="N165" s="4" t="str" cm="1">
        <f t="array" aca="1" ref="N165" ca="1">INDEX({"New";"Repeat"}, RANDBETWEEN(1,2))</f>
        <v>New</v>
      </c>
      <c r="O165" s="4" t="str" cm="1">
        <f t="array" aca="1" ref="O165" ca="1">INDEX({"Loan";"Cash";"Lease"}, RANDBETWEEN(1,3))</f>
        <v>Cash</v>
      </c>
    </row>
    <row r="166" spans="1:15" x14ac:dyDescent="0.2">
      <c r="A166" s="4">
        <v>164</v>
      </c>
      <c r="B166" s="5">
        <f t="shared" ca="1" si="18"/>
        <v>45726</v>
      </c>
      <c r="C166" s="4" t="str" cm="1">
        <f t="array" aca="1" ref="C166" ca="1">INDEX({"Cochin";"Delhi";"Mumbai";"Pune";"Bengaluru"}, RANDBETWEEN(1,5))</f>
        <v>Pune</v>
      </c>
      <c r="D166" s="4" t="str" cm="1">
        <f t="array" aca="1" ref="D166" ca="1">INDEX({"C-Class";"E-Class";"S-Class";"GLA";"GLC";"GLE";"GLS";"EQB"}, RANDBETWEEN(1,8))</f>
        <v>E-Class</v>
      </c>
      <c r="E166" s="4" t="str">
        <f t="shared" ca="1" si="19"/>
        <v>Sedan</v>
      </c>
      <c r="F166" s="4">
        <f t="shared" ca="1" si="20"/>
        <v>1</v>
      </c>
      <c r="G166" s="8">
        <f t="shared" ca="1" si="21"/>
        <v>9339370</v>
      </c>
      <c r="H166" s="8">
        <f t="shared" ca="1" si="22"/>
        <v>9339370</v>
      </c>
      <c r="I166" s="8">
        <f t="shared" ca="1" si="23"/>
        <v>6537559</v>
      </c>
      <c r="J166" s="8">
        <f t="shared" ca="1" si="24"/>
        <v>2801811</v>
      </c>
      <c r="K166" s="6">
        <f t="shared" ca="1" si="25"/>
        <v>0.3</v>
      </c>
      <c r="L166" s="4" t="str" cm="1">
        <f t="array" aca="1" ref="L166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66" s="8">
        <f t="shared" ca="1" si="26"/>
        <v>21385</v>
      </c>
      <c r="N166" s="4" t="str" cm="1">
        <f t="array" aca="1" ref="N166" ca="1">INDEX({"New";"Repeat"}, RANDBETWEEN(1,2))</f>
        <v>New</v>
      </c>
      <c r="O166" s="4" t="str" cm="1">
        <f t="array" aca="1" ref="O166" ca="1">INDEX({"Loan";"Cash";"Lease"}, RANDBETWEEN(1,3))</f>
        <v>Lease</v>
      </c>
    </row>
    <row r="167" spans="1:15" x14ac:dyDescent="0.2">
      <c r="A167" s="4">
        <v>165</v>
      </c>
      <c r="B167" s="5">
        <f t="shared" ca="1" si="18"/>
        <v>45270</v>
      </c>
      <c r="C167" s="4" t="str" cm="1">
        <f t="array" aca="1" ref="C167" ca="1">INDEX({"Cochin";"Delhi";"Mumbai";"Pune";"Bengaluru"}, RANDBETWEEN(1,5))</f>
        <v>Delhi</v>
      </c>
      <c r="D167" s="4" t="str" cm="1">
        <f t="array" aca="1" ref="D167" ca="1">INDEX({"C-Class";"E-Class";"S-Class";"GLA";"GLC";"GLE";"GLS";"EQB"}, RANDBETWEEN(1,8))</f>
        <v>GLC</v>
      </c>
      <c r="E167" s="4" t="str">
        <f t="shared" ca="1" si="19"/>
        <v>SUV</v>
      </c>
      <c r="F167" s="4">
        <f t="shared" ca="1" si="20"/>
        <v>3</v>
      </c>
      <c r="G167" s="8">
        <f t="shared" ca="1" si="21"/>
        <v>6903400</v>
      </c>
      <c r="H167" s="8">
        <f t="shared" ca="1" si="22"/>
        <v>20710200</v>
      </c>
      <c r="I167" s="8">
        <f t="shared" ca="1" si="23"/>
        <v>16361058</v>
      </c>
      <c r="J167" s="8">
        <f t="shared" ca="1" si="24"/>
        <v>4349142</v>
      </c>
      <c r="K167" s="6">
        <f t="shared" ca="1" si="25"/>
        <v>0.21</v>
      </c>
      <c r="L167" s="4" t="str" cm="1">
        <f t="array" aca="1" ref="L16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67" s="8">
        <f t="shared" ca="1" si="26"/>
        <v>5880</v>
      </c>
      <c r="N167" s="4" t="str" cm="1">
        <f t="array" aca="1" ref="N167" ca="1">INDEX({"New";"Repeat"}, RANDBETWEEN(1,2))</f>
        <v>Repeat</v>
      </c>
      <c r="O167" s="4" t="str" cm="1">
        <f t="array" aca="1" ref="O167" ca="1">INDEX({"Loan";"Cash";"Lease"}, RANDBETWEEN(1,3))</f>
        <v>Loan</v>
      </c>
    </row>
    <row r="168" spans="1:15" x14ac:dyDescent="0.2">
      <c r="A168" s="4">
        <v>166</v>
      </c>
      <c r="B168" s="5">
        <f t="shared" ca="1" si="18"/>
        <v>45156</v>
      </c>
      <c r="C168" s="4" t="str" cm="1">
        <f t="array" aca="1" ref="C168" ca="1">INDEX({"Cochin";"Delhi";"Mumbai";"Pune";"Bengaluru"}, RANDBETWEEN(1,5))</f>
        <v>Pune</v>
      </c>
      <c r="D168" s="4" t="str" cm="1">
        <f t="array" aca="1" ref="D168" ca="1">INDEX({"C-Class";"E-Class";"S-Class";"GLA";"GLC";"GLE";"GLS";"EQB"}, RANDBETWEEN(1,8))</f>
        <v>S-Class</v>
      </c>
      <c r="E168" s="4" t="str">
        <f t="shared" ca="1" si="19"/>
        <v>Sedan</v>
      </c>
      <c r="F168" s="4">
        <f t="shared" ca="1" si="20"/>
        <v>3</v>
      </c>
      <c r="G168" s="8">
        <f t="shared" ca="1" si="21"/>
        <v>17196979</v>
      </c>
      <c r="H168" s="8">
        <f t="shared" ca="1" si="22"/>
        <v>51590937</v>
      </c>
      <c r="I168" s="8">
        <f t="shared" ca="1" si="23"/>
        <v>42820477.710000001</v>
      </c>
      <c r="J168" s="8">
        <f t="shared" ca="1" si="24"/>
        <v>8770459.2899999991</v>
      </c>
      <c r="K168" s="6">
        <f t="shared" ca="1" si="25"/>
        <v>0.16999999999999998</v>
      </c>
      <c r="L168" s="4" t="str" cm="1">
        <f t="array" aca="1" ref="L16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68" s="8">
        <f t="shared" ca="1" si="26"/>
        <v>12432</v>
      </c>
      <c r="N168" s="4" t="str" cm="1">
        <f t="array" aca="1" ref="N168" ca="1">INDEX({"New";"Repeat"}, RANDBETWEEN(1,2))</f>
        <v>New</v>
      </c>
      <c r="O168" s="4" t="str" cm="1">
        <f t="array" aca="1" ref="O168" ca="1">INDEX({"Loan";"Cash";"Lease"}, RANDBETWEEN(1,3))</f>
        <v>Cash</v>
      </c>
    </row>
    <row r="169" spans="1:15" x14ac:dyDescent="0.2">
      <c r="A169" s="4">
        <v>167</v>
      </c>
      <c r="B169" s="5">
        <f t="shared" ca="1" si="18"/>
        <v>44944</v>
      </c>
      <c r="C169" s="4" t="str" cm="1">
        <f t="array" aca="1" ref="C169" ca="1">INDEX({"Cochin";"Delhi";"Mumbai";"Pune";"Bengaluru"}, RANDBETWEEN(1,5))</f>
        <v>Delhi</v>
      </c>
      <c r="D169" s="4" t="str" cm="1">
        <f t="array" aca="1" ref="D169" ca="1">INDEX({"C-Class";"E-Class";"S-Class";"GLA";"GLC";"GLE";"GLS";"EQB"}, RANDBETWEEN(1,8))</f>
        <v>GLA</v>
      </c>
      <c r="E169" s="4" t="str">
        <f t="shared" ca="1" si="19"/>
        <v>SUV</v>
      </c>
      <c r="F169" s="4">
        <f t="shared" ca="1" si="20"/>
        <v>2</v>
      </c>
      <c r="G169" s="8">
        <f t="shared" ca="1" si="21"/>
        <v>4734931</v>
      </c>
      <c r="H169" s="8">
        <f t="shared" ca="1" si="22"/>
        <v>9469862</v>
      </c>
      <c r="I169" s="8">
        <f t="shared" ca="1" si="23"/>
        <v>7291793.7400000002</v>
      </c>
      <c r="J169" s="8">
        <f t="shared" ca="1" si="24"/>
        <v>2178068.2599999998</v>
      </c>
      <c r="K169" s="6">
        <f t="shared" ca="1" si="25"/>
        <v>0.22999999999999998</v>
      </c>
      <c r="L169" s="4" t="str" cm="1">
        <f t="array" aca="1" ref="L16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69" s="8">
        <f t="shared" ca="1" si="26"/>
        <v>5039</v>
      </c>
      <c r="N169" s="4" t="str" cm="1">
        <f t="array" aca="1" ref="N169" ca="1">INDEX({"New";"Repeat"}, RANDBETWEEN(1,2))</f>
        <v>Repeat</v>
      </c>
      <c r="O169" s="4" t="str" cm="1">
        <f t="array" aca="1" ref="O169" ca="1">INDEX({"Loan";"Cash";"Lease"}, RANDBETWEEN(1,3))</f>
        <v>Cash</v>
      </c>
    </row>
    <row r="170" spans="1:15" x14ac:dyDescent="0.2">
      <c r="A170" s="4">
        <v>168</v>
      </c>
      <c r="B170" s="5">
        <f t="shared" ca="1" si="18"/>
        <v>45229</v>
      </c>
      <c r="C170" s="4" t="str" cm="1">
        <f t="array" aca="1" ref="C170" ca="1">INDEX({"Cochin";"Delhi";"Mumbai";"Pune";"Bengaluru"}, RANDBETWEEN(1,5))</f>
        <v>Mumbai</v>
      </c>
      <c r="D170" s="4" t="str" cm="1">
        <f t="array" aca="1" ref="D170" ca="1">INDEX({"C-Class";"E-Class";"S-Class";"GLA";"GLC";"GLE";"GLS";"EQB"}, RANDBETWEEN(1,8))</f>
        <v>GLS</v>
      </c>
      <c r="E170" s="4" t="str">
        <f t="shared" ca="1" si="19"/>
        <v>SUV</v>
      </c>
      <c r="F170" s="4">
        <f t="shared" ca="1" si="20"/>
        <v>5</v>
      </c>
      <c r="G170" s="8">
        <f t="shared" ca="1" si="21"/>
        <v>17009927</v>
      </c>
      <c r="H170" s="8">
        <f t="shared" ca="1" si="22"/>
        <v>85049635</v>
      </c>
      <c r="I170" s="8">
        <f t="shared" ca="1" si="23"/>
        <v>61235737.200000003</v>
      </c>
      <c r="J170" s="8">
        <f t="shared" ca="1" si="24"/>
        <v>23813897.799999997</v>
      </c>
      <c r="K170" s="6">
        <f t="shared" ca="1" si="25"/>
        <v>0.27999999999999997</v>
      </c>
      <c r="L170" s="4" t="str" cm="1">
        <f t="array" aca="1" ref="L170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170" s="8">
        <f t="shared" ca="1" si="26"/>
        <v>14252</v>
      </c>
      <c r="N170" s="4" t="str" cm="1">
        <f t="array" aca="1" ref="N170" ca="1">INDEX({"New";"Repeat"}, RANDBETWEEN(1,2))</f>
        <v>New</v>
      </c>
      <c r="O170" s="4" t="str" cm="1">
        <f t="array" aca="1" ref="O170" ca="1">INDEX({"Loan";"Cash";"Lease"}, RANDBETWEEN(1,3))</f>
        <v>Loan</v>
      </c>
    </row>
    <row r="171" spans="1:15" x14ac:dyDescent="0.2">
      <c r="A171" s="4">
        <v>169</v>
      </c>
      <c r="B171" s="5">
        <f t="shared" ca="1" si="18"/>
        <v>45339</v>
      </c>
      <c r="C171" s="4" t="str" cm="1">
        <f t="array" aca="1" ref="C171" ca="1">INDEX({"Cochin";"Delhi";"Mumbai";"Pune";"Bengaluru"}, RANDBETWEEN(1,5))</f>
        <v>Cochin</v>
      </c>
      <c r="D171" s="4" t="str" cm="1">
        <f t="array" aca="1" ref="D171" ca="1">INDEX({"C-Class";"E-Class";"S-Class";"GLA";"GLC";"GLE";"GLS";"EQB"}, RANDBETWEEN(1,8))</f>
        <v>S-Class</v>
      </c>
      <c r="E171" s="4" t="str">
        <f t="shared" ca="1" si="19"/>
        <v>Sedan</v>
      </c>
      <c r="F171" s="4">
        <f t="shared" ca="1" si="20"/>
        <v>1</v>
      </c>
      <c r="G171" s="8">
        <f t="shared" ca="1" si="21"/>
        <v>22325788</v>
      </c>
      <c r="H171" s="8">
        <f t="shared" ca="1" si="22"/>
        <v>22325788</v>
      </c>
      <c r="I171" s="8">
        <f t="shared" ca="1" si="23"/>
        <v>18530404.039999999</v>
      </c>
      <c r="J171" s="8">
        <f t="shared" ca="1" si="24"/>
        <v>3795383.9600000009</v>
      </c>
      <c r="K171" s="6">
        <f t="shared" ca="1" si="25"/>
        <v>0.17000000000000004</v>
      </c>
      <c r="L171" s="4" t="str" cm="1">
        <f t="array" aca="1" ref="L17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71" s="8">
        <f t="shared" ca="1" si="26"/>
        <v>3833</v>
      </c>
      <c r="N171" s="4" t="str" cm="1">
        <f t="array" aca="1" ref="N171" ca="1">INDEX({"New";"Repeat"}, RANDBETWEEN(1,2))</f>
        <v>Repeat</v>
      </c>
      <c r="O171" s="4" t="str" cm="1">
        <f t="array" aca="1" ref="O171" ca="1">INDEX({"Loan";"Cash";"Lease"}, RANDBETWEEN(1,3))</f>
        <v>Lease</v>
      </c>
    </row>
    <row r="172" spans="1:15" x14ac:dyDescent="0.2">
      <c r="A172" s="4">
        <v>170</v>
      </c>
      <c r="B172" s="5">
        <f t="shared" ca="1" si="18"/>
        <v>45889</v>
      </c>
      <c r="C172" s="4" t="str" cm="1">
        <f t="array" aca="1" ref="C172" ca="1">INDEX({"Cochin";"Delhi";"Mumbai";"Pune";"Bengaluru"}, RANDBETWEEN(1,5))</f>
        <v>Bengaluru</v>
      </c>
      <c r="D172" s="4" t="str" cm="1">
        <f t="array" aca="1" ref="D172" ca="1">INDEX({"C-Class";"E-Class";"S-Class";"GLA";"GLC";"GLE";"GLS";"EQB"}, RANDBETWEEN(1,8))</f>
        <v>GLE</v>
      </c>
      <c r="E172" s="4" t="str">
        <f t="shared" ca="1" si="19"/>
        <v>SUV</v>
      </c>
      <c r="F172" s="4">
        <f t="shared" ca="1" si="20"/>
        <v>5</v>
      </c>
      <c r="G172" s="8">
        <f t="shared" ca="1" si="21"/>
        <v>12730006</v>
      </c>
      <c r="H172" s="8">
        <f t="shared" ca="1" si="22"/>
        <v>63650030</v>
      </c>
      <c r="I172" s="8">
        <f t="shared" ca="1" si="23"/>
        <v>47101022.200000003</v>
      </c>
      <c r="J172" s="8">
        <f t="shared" ca="1" si="24"/>
        <v>16549007.799999997</v>
      </c>
      <c r="K172" s="6">
        <f t="shared" ca="1" si="25"/>
        <v>0.25999999999999995</v>
      </c>
      <c r="L172" s="4" t="str" cm="1">
        <f t="array" aca="1" ref="L172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72" s="8">
        <f t="shared" ca="1" si="26"/>
        <v>18615</v>
      </c>
      <c r="N172" s="4" t="str" cm="1">
        <f t="array" aca="1" ref="N172" ca="1">INDEX({"New";"Repeat"}, RANDBETWEEN(1,2))</f>
        <v>New</v>
      </c>
      <c r="O172" s="4" t="str" cm="1">
        <f t="array" aca="1" ref="O172" ca="1">INDEX({"Loan";"Cash";"Lease"}, RANDBETWEEN(1,3))</f>
        <v>Lease</v>
      </c>
    </row>
    <row r="173" spans="1:15" x14ac:dyDescent="0.2">
      <c r="A173" s="4">
        <v>171</v>
      </c>
      <c r="B173" s="5">
        <f t="shared" ca="1" si="18"/>
        <v>44976</v>
      </c>
      <c r="C173" s="4" t="str" cm="1">
        <f t="array" aca="1" ref="C173" ca="1">INDEX({"Cochin";"Delhi";"Mumbai";"Pune";"Bengaluru"}, RANDBETWEEN(1,5))</f>
        <v>Cochin</v>
      </c>
      <c r="D173" s="4" t="str" cm="1">
        <f t="array" aca="1" ref="D173" ca="1">INDEX({"C-Class";"E-Class";"S-Class";"GLA";"GLC";"GLE";"GLS";"EQB"}, RANDBETWEEN(1,8))</f>
        <v>GLC</v>
      </c>
      <c r="E173" s="4" t="str">
        <f t="shared" ca="1" si="19"/>
        <v>SUV</v>
      </c>
      <c r="F173" s="4">
        <f t="shared" ca="1" si="20"/>
        <v>2</v>
      </c>
      <c r="G173" s="8">
        <f t="shared" ca="1" si="21"/>
        <v>6642455</v>
      </c>
      <c r="H173" s="8">
        <f t="shared" ca="1" si="22"/>
        <v>13284910</v>
      </c>
      <c r="I173" s="8">
        <f t="shared" ca="1" si="23"/>
        <v>9697984.3000000007</v>
      </c>
      <c r="J173" s="8">
        <f t="shared" ca="1" si="24"/>
        <v>3586925.6999999993</v>
      </c>
      <c r="K173" s="6">
        <f t="shared" ca="1" si="25"/>
        <v>0.26999999999999996</v>
      </c>
      <c r="L173" s="4" t="str" cm="1">
        <f t="array" aca="1" ref="L17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73" s="8">
        <f t="shared" ca="1" si="26"/>
        <v>22349</v>
      </c>
      <c r="N173" s="4" t="str" cm="1">
        <f t="array" aca="1" ref="N173" ca="1">INDEX({"New";"Repeat"}, RANDBETWEEN(1,2))</f>
        <v>New</v>
      </c>
      <c r="O173" s="4" t="str" cm="1">
        <f t="array" aca="1" ref="O173" ca="1">INDEX({"Loan";"Cash";"Lease"}, RANDBETWEEN(1,3))</f>
        <v>Cash</v>
      </c>
    </row>
    <row r="174" spans="1:15" x14ac:dyDescent="0.2">
      <c r="A174" s="4">
        <v>172</v>
      </c>
      <c r="B174" s="5">
        <f t="shared" ca="1" si="18"/>
        <v>45421</v>
      </c>
      <c r="C174" s="4" t="str" cm="1">
        <f t="array" aca="1" ref="C174" ca="1">INDEX({"Cochin";"Delhi";"Mumbai";"Pune";"Bengaluru"}, RANDBETWEEN(1,5))</f>
        <v>Bengaluru</v>
      </c>
      <c r="D174" s="4" t="str" cm="1">
        <f t="array" aca="1" ref="D174" ca="1">INDEX({"C-Class";"E-Class";"S-Class";"GLA";"GLC";"GLE";"GLS";"EQB"}, RANDBETWEEN(1,8))</f>
        <v>GLC</v>
      </c>
      <c r="E174" s="4" t="str">
        <f t="shared" ca="1" si="19"/>
        <v>SUV</v>
      </c>
      <c r="F174" s="4">
        <f t="shared" ca="1" si="20"/>
        <v>4</v>
      </c>
      <c r="G174" s="8">
        <f t="shared" ca="1" si="21"/>
        <v>6783519</v>
      </c>
      <c r="H174" s="8">
        <f t="shared" ca="1" si="22"/>
        <v>27134076</v>
      </c>
      <c r="I174" s="8">
        <f t="shared" ca="1" si="23"/>
        <v>22249942.32</v>
      </c>
      <c r="J174" s="8">
        <f t="shared" ca="1" si="24"/>
        <v>4884133.68</v>
      </c>
      <c r="K174" s="6">
        <f t="shared" ca="1" si="25"/>
        <v>0.18</v>
      </c>
      <c r="L174" s="4" t="str" cm="1">
        <f t="array" aca="1" ref="L17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74" s="8">
        <f t="shared" ca="1" si="26"/>
        <v>18784</v>
      </c>
      <c r="N174" s="4" t="str" cm="1">
        <f t="array" aca="1" ref="N174" ca="1">INDEX({"New";"Repeat"}, RANDBETWEEN(1,2))</f>
        <v>New</v>
      </c>
      <c r="O174" s="4" t="str" cm="1">
        <f t="array" aca="1" ref="O174" ca="1">INDEX({"Loan";"Cash";"Lease"}, RANDBETWEEN(1,3))</f>
        <v>Loan</v>
      </c>
    </row>
    <row r="175" spans="1:15" x14ac:dyDescent="0.2">
      <c r="A175" s="4">
        <v>173</v>
      </c>
      <c r="B175" s="5">
        <f t="shared" ca="1" si="18"/>
        <v>45681</v>
      </c>
      <c r="C175" s="4" t="str" cm="1">
        <f t="array" aca="1" ref="C175" ca="1">INDEX({"Cochin";"Delhi";"Mumbai";"Pune";"Bengaluru"}, RANDBETWEEN(1,5))</f>
        <v>Mumbai</v>
      </c>
      <c r="D175" s="4" t="str" cm="1">
        <f t="array" aca="1" ref="D175" ca="1">INDEX({"C-Class";"E-Class";"S-Class";"GLA";"GLC";"GLE";"GLS";"EQB"}, RANDBETWEEN(1,8))</f>
        <v>EQB</v>
      </c>
      <c r="E175" s="4" t="str">
        <f t="shared" ca="1" si="19"/>
        <v>EV</v>
      </c>
      <c r="F175" s="4">
        <f t="shared" ca="1" si="20"/>
        <v>2</v>
      </c>
      <c r="G175" s="8">
        <f t="shared" ca="1" si="21"/>
        <v>7080696</v>
      </c>
      <c r="H175" s="8">
        <f t="shared" ca="1" si="22"/>
        <v>14161392</v>
      </c>
      <c r="I175" s="8">
        <f t="shared" ca="1" si="23"/>
        <v>10054588.32</v>
      </c>
      <c r="J175" s="8">
        <f t="shared" ca="1" si="24"/>
        <v>4106803.6799999997</v>
      </c>
      <c r="K175" s="6">
        <f t="shared" ca="1" si="25"/>
        <v>0.28999999999999998</v>
      </c>
      <c r="L175" s="4" t="str" cm="1">
        <f t="array" aca="1" ref="L17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75" s="8">
        <f t="shared" ca="1" si="26"/>
        <v>21494</v>
      </c>
      <c r="N175" s="4" t="str" cm="1">
        <f t="array" aca="1" ref="N175" ca="1">INDEX({"New";"Repeat"}, RANDBETWEEN(1,2))</f>
        <v>New</v>
      </c>
      <c r="O175" s="4" t="str" cm="1">
        <f t="array" aca="1" ref="O175" ca="1">INDEX({"Loan";"Cash";"Lease"}, RANDBETWEEN(1,3))</f>
        <v>Cash</v>
      </c>
    </row>
    <row r="176" spans="1:15" x14ac:dyDescent="0.2">
      <c r="A176" s="4">
        <v>174</v>
      </c>
      <c r="B176" s="5">
        <f t="shared" ca="1" si="18"/>
        <v>45436</v>
      </c>
      <c r="C176" s="4" t="str" cm="1">
        <f t="array" aca="1" ref="C176" ca="1">INDEX({"Cochin";"Delhi";"Mumbai";"Pune";"Bengaluru"}, RANDBETWEEN(1,5))</f>
        <v>Mumbai</v>
      </c>
      <c r="D176" s="4" t="str" cm="1">
        <f t="array" aca="1" ref="D176" ca="1">INDEX({"C-Class";"E-Class";"S-Class";"GLA";"GLC";"GLE";"GLS";"EQB"}, RANDBETWEEN(1,8))</f>
        <v>GLE</v>
      </c>
      <c r="E176" s="4" t="str">
        <f t="shared" ca="1" si="19"/>
        <v>SUV</v>
      </c>
      <c r="F176" s="4">
        <f t="shared" ca="1" si="20"/>
        <v>2</v>
      </c>
      <c r="G176" s="8">
        <f t="shared" ca="1" si="21"/>
        <v>10827784</v>
      </c>
      <c r="H176" s="8">
        <f t="shared" ca="1" si="22"/>
        <v>21655568</v>
      </c>
      <c r="I176" s="8">
        <f t="shared" ca="1" si="23"/>
        <v>17757565.760000002</v>
      </c>
      <c r="J176" s="8">
        <f t="shared" ca="1" si="24"/>
        <v>3898002.2399999984</v>
      </c>
      <c r="K176" s="6">
        <f t="shared" ca="1" si="25"/>
        <v>0.17999999999999994</v>
      </c>
      <c r="L176" s="4" t="str" cm="1">
        <f t="array" aca="1" ref="L176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76" s="8">
        <f t="shared" ca="1" si="26"/>
        <v>11854</v>
      </c>
      <c r="N176" s="4" t="str" cm="1">
        <f t="array" aca="1" ref="N176" ca="1">INDEX({"New";"Repeat"}, RANDBETWEEN(1,2))</f>
        <v>New</v>
      </c>
      <c r="O176" s="4" t="str" cm="1">
        <f t="array" aca="1" ref="O176" ca="1">INDEX({"Loan";"Cash";"Lease"}, RANDBETWEEN(1,3))</f>
        <v>Lease</v>
      </c>
    </row>
    <row r="177" spans="1:15" x14ac:dyDescent="0.2">
      <c r="A177" s="4">
        <v>175</v>
      </c>
      <c r="B177" s="5">
        <f t="shared" ca="1" si="18"/>
        <v>45666</v>
      </c>
      <c r="C177" s="4" t="str" cm="1">
        <f t="array" aca="1" ref="C177" ca="1">INDEX({"Cochin";"Delhi";"Mumbai";"Pune";"Bengaluru"}, RANDBETWEEN(1,5))</f>
        <v>Delhi</v>
      </c>
      <c r="D177" s="4" t="str" cm="1">
        <f t="array" aca="1" ref="D177" ca="1">INDEX({"C-Class";"E-Class";"S-Class";"GLA";"GLC";"GLE";"GLS";"EQB"}, RANDBETWEEN(1,8))</f>
        <v>EQB</v>
      </c>
      <c r="E177" s="4" t="str">
        <f t="shared" ca="1" si="19"/>
        <v>EV</v>
      </c>
      <c r="F177" s="4">
        <f t="shared" ca="1" si="20"/>
        <v>3</v>
      </c>
      <c r="G177" s="8">
        <f t="shared" ca="1" si="21"/>
        <v>7212851</v>
      </c>
      <c r="H177" s="8">
        <f t="shared" ca="1" si="22"/>
        <v>21638553</v>
      </c>
      <c r="I177" s="8">
        <f t="shared" ca="1" si="23"/>
        <v>16012529.220000001</v>
      </c>
      <c r="J177" s="8">
        <f t="shared" ca="1" si="24"/>
        <v>5626023.7799999993</v>
      </c>
      <c r="K177" s="6">
        <f t="shared" ca="1" si="25"/>
        <v>0.25999999999999995</v>
      </c>
      <c r="L177" s="4" t="str" cm="1">
        <f t="array" aca="1" ref="L17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177" s="8">
        <f t="shared" ca="1" si="26"/>
        <v>5119</v>
      </c>
      <c r="N177" s="4" t="str" cm="1">
        <f t="array" aca="1" ref="N177" ca="1">INDEX({"New";"Repeat"}, RANDBETWEEN(1,2))</f>
        <v>Repeat</v>
      </c>
      <c r="O177" s="4" t="str" cm="1">
        <f t="array" aca="1" ref="O177" ca="1">INDEX({"Loan";"Cash";"Lease"}, RANDBETWEEN(1,3))</f>
        <v>Lease</v>
      </c>
    </row>
    <row r="178" spans="1:15" x14ac:dyDescent="0.2">
      <c r="A178" s="4">
        <v>176</v>
      </c>
      <c r="B178" s="5">
        <f t="shared" ca="1" si="18"/>
        <v>45790</v>
      </c>
      <c r="C178" s="4" t="str" cm="1">
        <f t="array" aca="1" ref="C178" ca="1">INDEX({"Cochin";"Delhi";"Mumbai";"Pune";"Bengaluru"}, RANDBETWEEN(1,5))</f>
        <v>Bengaluru</v>
      </c>
      <c r="D178" s="4" t="str" cm="1">
        <f t="array" aca="1" ref="D178" ca="1">INDEX({"C-Class";"E-Class";"S-Class";"GLA";"GLC";"GLE";"GLS";"EQB"}, RANDBETWEEN(1,8))</f>
        <v>EQB</v>
      </c>
      <c r="E178" s="4" t="str">
        <f t="shared" ca="1" si="19"/>
        <v>EV</v>
      </c>
      <c r="F178" s="4">
        <f t="shared" ca="1" si="20"/>
        <v>1</v>
      </c>
      <c r="G178" s="8">
        <f t="shared" ca="1" si="21"/>
        <v>7162892</v>
      </c>
      <c r="H178" s="8">
        <f t="shared" ca="1" si="22"/>
        <v>7162892</v>
      </c>
      <c r="I178" s="8">
        <f t="shared" ca="1" si="23"/>
        <v>5515426.8399999999</v>
      </c>
      <c r="J178" s="8">
        <f t="shared" ca="1" si="24"/>
        <v>1647465.1600000001</v>
      </c>
      <c r="K178" s="6">
        <f t="shared" ca="1" si="25"/>
        <v>0.23</v>
      </c>
      <c r="L178" s="4" t="str" cm="1">
        <f t="array" aca="1" ref="L178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178" s="8">
        <f t="shared" ca="1" si="26"/>
        <v>11690</v>
      </c>
      <c r="N178" s="4" t="str" cm="1">
        <f t="array" aca="1" ref="N178" ca="1">INDEX({"New";"Repeat"}, RANDBETWEEN(1,2))</f>
        <v>New</v>
      </c>
      <c r="O178" s="4" t="str" cm="1">
        <f t="array" aca="1" ref="O178" ca="1">INDEX({"Loan";"Cash";"Lease"}, RANDBETWEEN(1,3))</f>
        <v>Loan</v>
      </c>
    </row>
    <row r="179" spans="1:15" x14ac:dyDescent="0.2">
      <c r="A179" s="4">
        <v>177</v>
      </c>
      <c r="B179" s="5">
        <f t="shared" ca="1" si="18"/>
        <v>45394</v>
      </c>
      <c r="C179" s="4" t="str" cm="1">
        <f t="array" aca="1" ref="C179" ca="1">INDEX({"Cochin";"Delhi";"Mumbai";"Pune";"Bengaluru"}, RANDBETWEEN(1,5))</f>
        <v>Delhi</v>
      </c>
      <c r="D179" s="4" t="str" cm="1">
        <f t="array" aca="1" ref="D179" ca="1">INDEX({"C-Class";"E-Class";"S-Class";"GLA";"GLC";"GLE";"GLS";"EQB"}, RANDBETWEEN(1,8))</f>
        <v>GLA</v>
      </c>
      <c r="E179" s="4" t="str">
        <f t="shared" ca="1" si="19"/>
        <v>SUV</v>
      </c>
      <c r="F179" s="4">
        <f t="shared" ca="1" si="20"/>
        <v>3</v>
      </c>
      <c r="G179" s="8">
        <f t="shared" ca="1" si="21"/>
        <v>4861265</v>
      </c>
      <c r="H179" s="8">
        <f t="shared" ca="1" si="22"/>
        <v>14583795</v>
      </c>
      <c r="I179" s="8">
        <f t="shared" ca="1" si="23"/>
        <v>10646170.35</v>
      </c>
      <c r="J179" s="8">
        <f t="shared" ca="1" si="24"/>
        <v>3937624.6500000004</v>
      </c>
      <c r="K179" s="6">
        <f t="shared" ca="1" si="25"/>
        <v>0.27</v>
      </c>
      <c r="L179" s="4" t="str" cm="1">
        <f t="array" aca="1" ref="L179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79" s="8">
        <f t="shared" ca="1" si="26"/>
        <v>4237</v>
      </c>
      <c r="N179" s="4" t="str" cm="1">
        <f t="array" aca="1" ref="N179" ca="1">INDEX({"New";"Repeat"}, RANDBETWEEN(1,2))</f>
        <v>Repeat</v>
      </c>
      <c r="O179" s="4" t="str" cm="1">
        <f t="array" aca="1" ref="O179" ca="1">INDEX({"Loan";"Cash";"Lease"}, RANDBETWEEN(1,3))</f>
        <v>Loan</v>
      </c>
    </row>
    <row r="180" spans="1:15" x14ac:dyDescent="0.2">
      <c r="A180" s="4">
        <v>178</v>
      </c>
      <c r="B180" s="5">
        <f t="shared" ca="1" si="18"/>
        <v>45638</v>
      </c>
      <c r="C180" s="4" t="str" cm="1">
        <f t="array" aca="1" ref="C180" ca="1">INDEX({"Cochin";"Delhi";"Mumbai";"Pune";"Bengaluru"}, RANDBETWEEN(1,5))</f>
        <v>Cochin</v>
      </c>
      <c r="D180" s="4" t="str" cm="1">
        <f t="array" aca="1" ref="D180" ca="1">INDEX({"C-Class";"E-Class";"S-Class";"GLA";"GLC";"GLE";"GLS";"EQB"}, RANDBETWEEN(1,8))</f>
        <v>GLC</v>
      </c>
      <c r="E180" s="4" t="str">
        <f t="shared" ca="1" si="19"/>
        <v>SUV</v>
      </c>
      <c r="F180" s="4">
        <f t="shared" ca="1" si="20"/>
        <v>3</v>
      </c>
      <c r="G180" s="8">
        <f t="shared" ca="1" si="21"/>
        <v>7188323</v>
      </c>
      <c r="H180" s="8">
        <f t="shared" ca="1" si="22"/>
        <v>21564969</v>
      </c>
      <c r="I180" s="8">
        <f t="shared" ca="1" si="23"/>
        <v>17251975.199999999</v>
      </c>
      <c r="J180" s="8">
        <f t="shared" ca="1" si="24"/>
        <v>4312993.8000000007</v>
      </c>
      <c r="K180" s="6">
        <f t="shared" ca="1" si="25"/>
        <v>0.20000000000000004</v>
      </c>
      <c r="L180" s="4" t="str" cm="1">
        <f t="array" aca="1" ref="L18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80" s="8">
        <f t="shared" ca="1" si="26"/>
        <v>20334</v>
      </c>
      <c r="N180" s="4" t="str" cm="1">
        <f t="array" aca="1" ref="N180" ca="1">INDEX({"New";"Repeat"}, RANDBETWEEN(1,2))</f>
        <v>New</v>
      </c>
      <c r="O180" s="4" t="str" cm="1">
        <f t="array" aca="1" ref="O180" ca="1">INDEX({"Loan";"Cash";"Lease"}, RANDBETWEEN(1,3))</f>
        <v>Lease</v>
      </c>
    </row>
    <row r="181" spans="1:15" x14ac:dyDescent="0.2">
      <c r="A181" s="4">
        <v>179</v>
      </c>
      <c r="B181" s="5">
        <f t="shared" ca="1" si="18"/>
        <v>45832</v>
      </c>
      <c r="C181" s="4" t="str" cm="1">
        <f t="array" aca="1" ref="C181" ca="1">INDEX({"Cochin";"Delhi";"Mumbai";"Pune";"Bengaluru"}, RANDBETWEEN(1,5))</f>
        <v>Pune</v>
      </c>
      <c r="D181" s="4" t="str" cm="1">
        <f t="array" aca="1" ref="D181" ca="1">INDEX({"C-Class";"E-Class";"S-Class";"GLA";"GLC";"GLE";"GLS";"EQB"}, RANDBETWEEN(1,8))</f>
        <v>C-Class</v>
      </c>
      <c r="E181" s="4" t="str">
        <f t="shared" ca="1" si="19"/>
        <v>Sedan</v>
      </c>
      <c r="F181" s="4">
        <f t="shared" ca="1" si="20"/>
        <v>5</v>
      </c>
      <c r="G181" s="8">
        <f t="shared" ca="1" si="21"/>
        <v>6450929</v>
      </c>
      <c r="H181" s="8">
        <f t="shared" ca="1" si="22"/>
        <v>32254645</v>
      </c>
      <c r="I181" s="8">
        <f t="shared" ca="1" si="23"/>
        <v>27416448.25</v>
      </c>
      <c r="J181" s="8">
        <f t="shared" ca="1" si="24"/>
        <v>4838196.75</v>
      </c>
      <c r="K181" s="6">
        <f t="shared" ca="1" si="25"/>
        <v>0.15</v>
      </c>
      <c r="L181" s="4" t="str" cm="1">
        <f t="array" aca="1" ref="L18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81" s="8">
        <f t="shared" ca="1" si="26"/>
        <v>14335</v>
      </c>
      <c r="N181" s="4" t="str" cm="1">
        <f t="array" aca="1" ref="N181" ca="1">INDEX({"New";"Repeat"}, RANDBETWEEN(1,2))</f>
        <v>New</v>
      </c>
      <c r="O181" s="4" t="str" cm="1">
        <f t="array" aca="1" ref="O181" ca="1">INDEX({"Loan";"Cash";"Lease"}, RANDBETWEEN(1,3))</f>
        <v>Loan</v>
      </c>
    </row>
    <row r="182" spans="1:15" x14ac:dyDescent="0.2">
      <c r="A182" s="4">
        <v>180</v>
      </c>
      <c r="B182" s="5">
        <f t="shared" ca="1" si="18"/>
        <v>45706</v>
      </c>
      <c r="C182" s="4" t="str" cm="1">
        <f t="array" aca="1" ref="C182" ca="1">INDEX({"Cochin";"Delhi";"Mumbai";"Pune";"Bengaluru"}, RANDBETWEEN(1,5))</f>
        <v>Pune</v>
      </c>
      <c r="D182" s="4" t="str" cm="1">
        <f t="array" aca="1" ref="D182" ca="1">INDEX({"C-Class";"E-Class";"S-Class";"GLA";"GLC";"GLE";"GLS";"EQB"}, RANDBETWEEN(1,8))</f>
        <v>GLE</v>
      </c>
      <c r="E182" s="4" t="str">
        <f t="shared" ca="1" si="19"/>
        <v>SUV</v>
      </c>
      <c r="F182" s="4">
        <f t="shared" ca="1" si="20"/>
        <v>5</v>
      </c>
      <c r="G182" s="8">
        <f t="shared" ca="1" si="21"/>
        <v>12024416</v>
      </c>
      <c r="H182" s="8">
        <f t="shared" ca="1" si="22"/>
        <v>60122080</v>
      </c>
      <c r="I182" s="8">
        <f t="shared" ca="1" si="23"/>
        <v>44490339.200000003</v>
      </c>
      <c r="J182" s="8">
        <f t="shared" ca="1" si="24"/>
        <v>15631740.799999997</v>
      </c>
      <c r="K182" s="6">
        <f t="shared" ca="1" si="25"/>
        <v>0.25999999999999995</v>
      </c>
      <c r="L182" s="4" t="str" cm="1">
        <f t="array" aca="1" ref="L18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82" s="8">
        <f t="shared" ca="1" si="26"/>
        <v>5720</v>
      </c>
      <c r="N182" s="4" t="str" cm="1">
        <f t="array" aca="1" ref="N182" ca="1">INDEX({"New";"Repeat"}, RANDBETWEEN(1,2))</f>
        <v>Repeat</v>
      </c>
      <c r="O182" s="4" t="str" cm="1">
        <f t="array" aca="1" ref="O182" ca="1">INDEX({"Loan";"Cash";"Lease"}, RANDBETWEEN(1,3))</f>
        <v>Cash</v>
      </c>
    </row>
    <row r="183" spans="1:15" x14ac:dyDescent="0.2">
      <c r="A183" s="4">
        <v>181</v>
      </c>
      <c r="B183" s="5">
        <f t="shared" ca="1" si="18"/>
        <v>45659</v>
      </c>
      <c r="C183" s="4" t="str" cm="1">
        <f t="array" aca="1" ref="C183" ca="1">INDEX({"Cochin";"Delhi";"Mumbai";"Pune";"Bengaluru"}, RANDBETWEEN(1,5))</f>
        <v>Cochin</v>
      </c>
      <c r="D183" s="4" t="str" cm="1">
        <f t="array" aca="1" ref="D183" ca="1">INDEX({"C-Class";"E-Class";"S-Class";"GLA";"GLC";"GLE";"GLS";"EQB"}, RANDBETWEEN(1,8))</f>
        <v>S-Class</v>
      </c>
      <c r="E183" s="4" t="str">
        <f t="shared" ca="1" si="19"/>
        <v>Sedan</v>
      </c>
      <c r="F183" s="4">
        <f t="shared" ca="1" si="20"/>
        <v>1</v>
      </c>
      <c r="G183" s="8">
        <f t="shared" ca="1" si="21"/>
        <v>20815558</v>
      </c>
      <c r="H183" s="8">
        <f t="shared" ca="1" si="22"/>
        <v>20815558</v>
      </c>
      <c r="I183" s="8">
        <f t="shared" ca="1" si="23"/>
        <v>17276913.140000001</v>
      </c>
      <c r="J183" s="8">
        <f t="shared" ca="1" si="24"/>
        <v>3538644.8599999994</v>
      </c>
      <c r="K183" s="6">
        <f t="shared" ca="1" si="25"/>
        <v>0.16999999999999998</v>
      </c>
      <c r="L183" s="4" t="str" cm="1">
        <f t="array" aca="1" ref="L183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83" s="8">
        <f t="shared" ca="1" si="26"/>
        <v>11410</v>
      </c>
      <c r="N183" s="4" t="str" cm="1">
        <f t="array" aca="1" ref="N183" ca="1">INDEX({"New";"Repeat"}, RANDBETWEEN(1,2))</f>
        <v>New</v>
      </c>
      <c r="O183" s="4" t="str" cm="1">
        <f t="array" aca="1" ref="O183" ca="1">INDEX({"Loan";"Cash";"Lease"}, RANDBETWEEN(1,3))</f>
        <v>Loan</v>
      </c>
    </row>
    <row r="184" spans="1:15" x14ac:dyDescent="0.2">
      <c r="A184" s="4">
        <v>182</v>
      </c>
      <c r="B184" s="5">
        <f t="shared" ca="1" si="18"/>
        <v>45238</v>
      </c>
      <c r="C184" s="4" t="str" cm="1">
        <f t="array" aca="1" ref="C184" ca="1">INDEX({"Cochin";"Delhi";"Mumbai";"Pune";"Bengaluru"}, RANDBETWEEN(1,5))</f>
        <v>Cochin</v>
      </c>
      <c r="D184" s="4" t="str" cm="1">
        <f t="array" aca="1" ref="D184" ca="1">INDEX({"C-Class";"E-Class";"S-Class";"GLA";"GLC";"GLE";"GLS";"EQB"}, RANDBETWEEN(1,8))</f>
        <v>GLE</v>
      </c>
      <c r="E184" s="4" t="str">
        <f t="shared" ca="1" si="19"/>
        <v>SUV</v>
      </c>
      <c r="F184" s="4">
        <f t="shared" ca="1" si="20"/>
        <v>2</v>
      </c>
      <c r="G184" s="8">
        <f t="shared" ca="1" si="21"/>
        <v>10177877</v>
      </c>
      <c r="H184" s="8">
        <f t="shared" ca="1" si="22"/>
        <v>20355754</v>
      </c>
      <c r="I184" s="8">
        <f t="shared" ca="1" si="23"/>
        <v>15266815.5</v>
      </c>
      <c r="J184" s="8">
        <f t="shared" ca="1" si="24"/>
        <v>5088938.5</v>
      </c>
      <c r="K184" s="6">
        <f t="shared" ca="1" si="25"/>
        <v>0.25</v>
      </c>
      <c r="L184" s="4" t="str" cm="1">
        <f t="array" aca="1" ref="L18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184" s="8">
        <f t="shared" ca="1" si="26"/>
        <v>14519</v>
      </c>
      <c r="N184" s="4" t="str" cm="1">
        <f t="array" aca="1" ref="N184" ca="1">INDEX({"New";"Repeat"}, RANDBETWEEN(1,2))</f>
        <v>New</v>
      </c>
      <c r="O184" s="4" t="str" cm="1">
        <f t="array" aca="1" ref="O184" ca="1">INDEX({"Loan";"Cash";"Lease"}, RANDBETWEEN(1,3))</f>
        <v>Cash</v>
      </c>
    </row>
    <row r="185" spans="1:15" x14ac:dyDescent="0.2">
      <c r="A185" s="4">
        <v>183</v>
      </c>
      <c r="B185" s="5">
        <f t="shared" ca="1" si="18"/>
        <v>45708</v>
      </c>
      <c r="C185" s="4" t="str" cm="1">
        <f t="array" aca="1" ref="C185" ca="1">INDEX({"Cochin";"Delhi";"Mumbai";"Pune";"Bengaluru"}, RANDBETWEEN(1,5))</f>
        <v>Pune</v>
      </c>
      <c r="D185" s="4" t="str" cm="1">
        <f t="array" aca="1" ref="D185" ca="1">INDEX({"C-Class";"E-Class";"S-Class";"GLA";"GLC";"GLE";"GLS";"EQB"}, RANDBETWEEN(1,8))</f>
        <v>E-Class</v>
      </c>
      <c r="E185" s="4" t="str">
        <f t="shared" ca="1" si="19"/>
        <v>Sedan</v>
      </c>
      <c r="F185" s="4">
        <f t="shared" ca="1" si="20"/>
        <v>4</v>
      </c>
      <c r="G185" s="8">
        <f t="shared" ca="1" si="21"/>
        <v>7618899</v>
      </c>
      <c r="H185" s="8">
        <f t="shared" ca="1" si="22"/>
        <v>30475596</v>
      </c>
      <c r="I185" s="8">
        <f t="shared" ca="1" si="23"/>
        <v>24380476.800000001</v>
      </c>
      <c r="J185" s="8">
        <f t="shared" ca="1" si="24"/>
        <v>6095119.1999999993</v>
      </c>
      <c r="K185" s="6">
        <f t="shared" ca="1" si="25"/>
        <v>0.19999999999999998</v>
      </c>
      <c r="L185" s="4" t="str" cm="1">
        <f t="array" aca="1" ref="L18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185" s="8">
        <f t="shared" ca="1" si="26"/>
        <v>6754</v>
      </c>
      <c r="N185" s="4" t="str" cm="1">
        <f t="array" aca="1" ref="N185" ca="1">INDEX({"New";"Repeat"}, RANDBETWEEN(1,2))</f>
        <v>Repeat</v>
      </c>
      <c r="O185" s="4" t="str" cm="1">
        <f t="array" aca="1" ref="O185" ca="1">INDEX({"Loan";"Cash";"Lease"}, RANDBETWEEN(1,3))</f>
        <v>Loan</v>
      </c>
    </row>
    <row r="186" spans="1:15" x14ac:dyDescent="0.2">
      <c r="A186" s="4">
        <v>184</v>
      </c>
      <c r="B186" s="5">
        <f t="shared" ca="1" si="18"/>
        <v>45277</v>
      </c>
      <c r="C186" s="4" t="str" cm="1">
        <f t="array" aca="1" ref="C186" ca="1">INDEX({"Cochin";"Delhi";"Mumbai";"Pune";"Bengaluru"}, RANDBETWEEN(1,5))</f>
        <v>Mumbai</v>
      </c>
      <c r="D186" s="4" t="str" cm="1">
        <f t="array" aca="1" ref="D186" ca="1">INDEX({"C-Class";"E-Class";"S-Class";"GLA";"GLC";"GLE";"GLS";"EQB"}, RANDBETWEEN(1,8))</f>
        <v>S-Class</v>
      </c>
      <c r="E186" s="4" t="str">
        <f t="shared" ca="1" si="19"/>
        <v>Sedan</v>
      </c>
      <c r="F186" s="4">
        <f t="shared" ca="1" si="20"/>
        <v>2</v>
      </c>
      <c r="G186" s="8">
        <f t="shared" ca="1" si="21"/>
        <v>15071073</v>
      </c>
      <c r="H186" s="8">
        <f t="shared" ca="1" si="22"/>
        <v>30142146</v>
      </c>
      <c r="I186" s="8">
        <f t="shared" ca="1" si="23"/>
        <v>23812295.34</v>
      </c>
      <c r="J186" s="8">
        <f t="shared" ca="1" si="24"/>
        <v>6329850.6600000001</v>
      </c>
      <c r="K186" s="6">
        <f t="shared" ca="1" si="25"/>
        <v>0.21</v>
      </c>
      <c r="L186" s="4" t="str" cm="1">
        <f t="array" aca="1" ref="L18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186" s="8">
        <f t="shared" ca="1" si="26"/>
        <v>4345</v>
      </c>
      <c r="N186" s="4" t="str" cm="1">
        <f t="array" aca="1" ref="N186" ca="1">INDEX({"New";"Repeat"}, RANDBETWEEN(1,2))</f>
        <v>Repeat</v>
      </c>
      <c r="O186" s="4" t="str" cm="1">
        <f t="array" aca="1" ref="O186" ca="1">INDEX({"Loan";"Cash";"Lease"}, RANDBETWEEN(1,3))</f>
        <v>Lease</v>
      </c>
    </row>
    <row r="187" spans="1:15" x14ac:dyDescent="0.2">
      <c r="A187" s="4">
        <v>185</v>
      </c>
      <c r="B187" s="5">
        <f t="shared" ca="1" si="18"/>
        <v>45670</v>
      </c>
      <c r="C187" s="4" t="str" cm="1">
        <f t="array" aca="1" ref="C187" ca="1">INDEX({"Cochin";"Delhi";"Mumbai";"Pune";"Bengaluru"}, RANDBETWEEN(1,5))</f>
        <v>Pune</v>
      </c>
      <c r="D187" s="4" t="str" cm="1">
        <f t="array" aca="1" ref="D187" ca="1">INDEX({"C-Class";"E-Class";"S-Class";"GLA";"GLC";"GLE";"GLS";"EQB"}, RANDBETWEEN(1,8))</f>
        <v>EQB</v>
      </c>
      <c r="E187" s="4" t="str">
        <f t="shared" ca="1" si="19"/>
        <v>EV</v>
      </c>
      <c r="F187" s="4">
        <f t="shared" ca="1" si="20"/>
        <v>1</v>
      </c>
      <c r="G187" s="8">
        <f t="shared" ca="1" si="21"/>
        <v>7184855</v>
      </c>
      <c r="H187" s="8">
        <f t="shared" ca="1" si="22"/>
        <v>7184855</v>
      </c>
      <c r="I187" s="8">
        <f t="shared" ca="1" si="23"/>
        <v>5963429.6500000004</v>
      </c>
      <c r="J187" s="8">
        <f t="shared" ca="1" si="24"/>
        <v>1221425.3499999996</v>
      </c>
      <c r="K187" s="6">
        <f t="shared" ca="1" si="25"/>
        <v>0.16999999999999996</v>
      </c>
      <c r="L187" s="4" t="str" cm="1">
        <f t="array" aca="1" ref="L18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187" s="8">
        <f t="shared" ca="1" si="26"/>
        <v>3840</v>
      </c>
      <c r="N187" s="4" t="str" cm="1">
        <f t="array" aca="1" ref="N187" ca="1">INDEX({"New";"Repeat"}, RANDBETWEEN(1,2))</f>
        <v>Repeat</v>
      </c>
      <c r="O187" s="4" t="str" cm="1">
        <f t="array" aca="1" ref="O187" ca="1">INDEX({"Loan";"Cash";"Lease"}, RANDBETWEEN(1,3))</f>
        <v>Loan</v>
      </c>
    </row>
    <row r="188" spans="1:15" x14ac:dyDescent="0.2">
      <c r="A188" s="4">
        <v>186</v>
      </c>
      <c r="B188" s="5">
        <f t="shared" ca="1" si="18"/>
        <v>45428</v>
      </c>
      <c r="C188" s="4" t="str" cm="1">
        <f t="array" aca="1" ref="C188" ca="1">INDEX({"Cochin";"Delhi";"Mumbai";"Pune";"Bengaluru"}, RANDBETWEEN(1,5))</f>
        <v>Mumbai</v>
      </c>
      <c r="D188" s="4" t="str" cm="1">
        <f t="array" aca="1" ref="D188" ca="1">INDEX({"C-Class";"E-Class";"S-Class";"GLA";"GLC";"GLE";"GLS";"EQB"}, RANDBETWEEN(1,8))</f>
        <v>GLE</v>
      </c>
      <c r="E188" s="4" t="str">
        <f t="shared" ca="1" si="19"/>
        <v>SUV</v>
      </c>
      <c r="F188" s="4">
        <f t="shared" ca="1" si="20"/>
        <v>5</v>
      </c>
      <c r="G188" s="8">
        <f t="shared" ca="1" si="21"/>
        <v>10816649</v>
      </c>
      <c r="H188" s="8">
        <f t="shared" ca="1" si="22"/>
        <v>54083245</v>
      </c>
      <c r="I188" s="8">
        <f t="shared" ca="1" si="23"/>
        <v>42184931.100000001</v>
      </c>
      <c r="J188" s="8">
        <f t="shared" ca="1" si="24"/>
        <v>11898313.899999999</v>
      </c>
      <c r="K188" s="6">
        <f t="shared" ca="1" si="25"/>
        <v>0.21999999999999997</v>
      </c>
      <c r="L188" s="4" t="str" cm="1">
        <f t="array" aca="1" ref="L18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88" s="8">
        <f t="shared" ca="1" si="26"/>
        <v>4704</v>
      </c>
      <c r="N188" s="4" t="str" cm="1">
        <f t="array" aca="1" ref="N188" ca="1">INDEX({"New";"Repeat"}, RANDBETWEEN(1,2))</f>
        <v>Repeat</v>
      </c>
      <c r="O188" s="4" t="str" cm="1">
        <f t="array" aca="1" ref="O188" ca="1">INDEX({"Loan";"Cash";"Lease"}, RANDBETWEEN(1,3))</f>
        <v>Cash</v>
      </c>
    </row>
    <row r="189" spans="1:15" x14ac:dyDescent="0.2">
      <c r="A189" s="4">
        <v>187</v>
      </c>
      <c r="B189" s="5">
        <f t="shared" ca="1" si="18"/>
        <v>45517</v>
      </c>
      <c r="C189" s="4" t="str" cm="1">
        <f t="array" aca="1" ref="C189" ca="1">INDEX({"Cochin";"Delhi";"Mumbai";"Pune";"Bengaluru"}, RANDBETWEEN(1,5))</f>
        <v>Delhi</v>
      </c>
      <c r="D189" s="4" t="str" cm="1">
        <f t="array" aca="1" ref="D189" ca="1">INDEX({"C-Class";"E-Class";"S-Class";"GLA";"GLC";"GLE";"GLS";"EQB"}, RANDBETWEEN(1,8))</f>
        <v>GLC</v>
      </c>
      <c r="E189" s="4" t="str">
        <f t="shared" ca="1" si="19"/>
        <v>SUV</v>
      </c>
      <c r="F189" s="4">
        <f t="shared" ca="1" si="20"/>
        <v>2</v>
      </c>
      <c r="G189" s="8">
        <f t="shared" ca="1" si="21"/>
        <v>7141898</v>
      </c>
      <c r="H189" s="8">
        <f t="shared" ca="1" si="22"/>
        <v>14283796</v>
      </c>
      <c r="I189" s="8">
        <f t="shared" ca="1" si="23"/>
        <v>10284333.119999999</v>
      </c>
      <c r="J189" s="8">
        <f t="shared" ca="1" si="24"/>
        <v>3999462.8800000008</v>
      </c>
      <c r="K189" s="6">
        <f t="shared" ca="1" si="25"/>
        <v>0.28000000000000008</v>
      </c>
      <c r="L189" s="4" t="str" cm="1">
        <f t="array" aca="1" ref="L18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89" s="8">
        <f t="shared" ca="1" si="26"/>
        <v>24722</v>
      </c>
      <c r="N189" s="4" t="str" cm="1">
        <f t="array" aca="1" ref="N189" ca="1">INDEX({"New";"Repeat"}, RANDBETWEEN(1,2))</f>
        <v>New</v>
      </c>
      <c r="O189" s="4" t="str" cm="1">
        <f t="array" aca="1" ref="O189" ca="1">INDEX({"Loan";"Cash";"Lease"}, RANDBETWEEN(1,3))</f>
        <v>Loan</v>
      </c>
    </row>
    <row r="190" spans="1:15" x14ac:dyDescent="0.2">
      <c r="A190" s="4">
        <v>188</v>
      </c>
      <c r="B190" s="5">
        <f t="shared" ca="1" si="18"/>
        <v>45233</v>
      </c>
      <c r="C190" s="4" t="str" cm="1">
        <f t="array" aca="1" ref="C190" ca="1">INDEX({"Cochin";"Delhi";"Mumbai";"Pune";"Bengaluru"}, RANDBETWEEN(1,5))</f>
        <v>Delhi</v>
      </c>
      <c r="D190" s="4" t="str" cm="1">
        <f t="array" aca="1" ref="D190" ca="1">INDEX({"C-Class";"E-Class";"S-Class";"GLA";"GLC";"GLE";"GLS";"EQB"}, RANDBETWEEN(1,8))</f>
        <v>EQB</v>
      </c>
      <c r="E190" s="4" t="str">
        <f t="shared" ca="1" si="19"/>
        <v>EV</v>
      </c>
      <c r="F190" s="4">
        <f t="shared" ca="1" si="20"/>
        <v>4</v>
      </c>
      <c r="G190" s="8">
        <f t="shared" ca="1" si="21"/>
        <v>7215762</v>
      </c>
      <c r="H190" s="8">
        <f t="shared" ca="1" si="22"/>
        <v>28863048</v>
      </c>
      <c r="I190" s="8">
        <f t="shared" ca="1" si="23"/>
        <v>22801807.920000002</v>
      </c>
      <c r="J190" s="8">
        <f t="shared" ca="1" si="24"/>
        <v>6061240.0799999982</v>
      </c>
      <c r="K190" s="6">
        <f t="shared" ca="1" si="25"/>
        <v>0.20999999999999994</v>
      </c>
      <c r="L190" s="4" t="str" cm="1">
        <f t="array" aca="1" ref="L19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90" s="8">
        <f t="shared" ca="1" si="26"/>
        <v>3449</v>
      </c>
      <c r="N190" s="4" t="str" cm="1">
        <f t="array" aca="1" ref="N190" ca="1">INDEX({"New";"Repeat"}, RANDBETWEEN(1,2))</f>
        <v>Repeat</v>
      </c>
      <c r="O190" s="4" t="str" cm="1">
        <f t="array" aca="1" ref="O190" ca="1">INDEX({"Loan";"Cash";"Lease"}, RANDBETWEEN(1,3))</f>
        <v>Cash</v>
      </c>
    </row>
    <row r="191" spans="1:15" x14ac:dyDescent="0.2">
      <c r="A191" s="4">
        <v>189</v>
      </c>
      <c r="B191" s="5">
        <f t="shared" ca="1" si="18"/>
        <v>45871</v>
      </c>
      <c r="C191" s="4" t="str" cm="1">
        <f t="array" aca="1" ref="C191" ca="1">INDEX({"Cochin";"Delhi";"Mumbai";"Pune";"Bengaluru"}, RANDBETWEEN(1,5))</f>
        <v>Mumbai</v>
      </c>
      <c r="D191" s="4" t="str" cm="1">
        <f t="array" aca="1" ref="D191" ca="1">INDEX({"C-Class";"E-Class";"S-Class";"GLA";"GLC";"GLE";"GLS";"EQB"}, RANDBETWEEN(1,8))</f>
        <v>C-Class</v>
      </c>
      <c r="E191" s="4" t="str">
        <f t="shared" ca="1" si="19"/>
        <v>Sedan</v>
      </c>
      <c r="F191" s="4">
        <f t="shared" ca="1" si="20"/>
        <v>2</v>
      </c>
      <c r="G191" s="8">
        <f t="shared" ca="1" si="21"/>
        <v>6413683</v>
      </c>
      <c r="H191" s="8">
        <f t="shared" ca="1" si="22"/>
        <v>12827366</v>
      </c>
      <c r="I191" s="8">
        <f t="shared" ca="1" si="23"/>
        <v>9107429.8599999994</v>
      </c>
      <c r="J191" s="8">
        <f t="shared" ca="1" si="24"/>
        <v>3719936.1400000006</v>
      </c>
      <c r="K191" s="6">
        <f t="shared" ca="1" si="25"/>
        <v>0.29000000000000004</v>
      </c>
      <c r="L191" s="4" t="str" cm="1">
        <f t="array" aca="1" ref="L19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191" s="8">
        <f t="shared" ca="1" si="26"/>
        <v>23313</v>
      </c>
      <c r="N191" s="4" t="str" cm="1">
        <f t="array" aca="1" ref="N191" ca="1">INDEX({"New";"Repeat"}, RANDBETWEEN(1,2))</f>
        <v>New</v>
      </c>
      <c r="O191" s="4" t="str" cm="1">
        <f t="array" aca="1" ref="O191" ca="1">INDEX({"Loan";"Cash";"Lease"}, RANDBETWEEN(1,3))</f>
        <v>Cash</v>
      </c>
    </row>
    <row r="192" spans="1:15" x14ac:dyDescent="0.2">
      <c r="A192" s="4">
        <v>190</v>
      </c>
      <c r="B192" s="5">
        <f t="shared" ca="1" si="18"/>
        <v>45116</v>
      </c>
      <c r="C192" s="4" t="str" cm="1">
        <f t="array" aca="1" ref="C192" ca="1">INDEX({"Cochin";"Delhi";"Mumbai";"Pune";"Bengaluru"}, RANDBETWEEN(1,5))</f>
        <v>Pune</v>
      </c>
      <c r="D192" s="4" t="str" cm="1">
        <f t="array" aca="1" ref="D192" ca="1">INDEX({"C-Class";"E-Class";"S-Class";"GLA";"GLC";"GLE";"GLS";"EQB"}, RANDBETWEEN(1,8))</f>
        <v>GLE</v>
      </c>
      <c r="E192" s="4" t="str">
        <f t="shared" ca="1" si="19"/>
        <v>SUV</v>
      </c>
      <c r="F192" s="4">
        <f t="shared" ca="1" si="20"/>
        <v>2</v>
      </c>
      <c r="G192" s="8">
        <f t="shared" ca="1" si="21"/>
        <v>11151290</v>
      </c>
      <c r="H192" s="8">
        <f t="shared" ca="1" si="22"/>
        <v>22302580</v>
      </c>
      <c r="I192" s="8">
        <f t="shared" ca="1" si="23"/>
        <v>16057857.6</v>
      </c>
      <c r="J192" s="8">
        <f t="shared" ca="1" si="24"/>
        <v>6244722.4000000004</v>
      </c>
      <c r="K192" s="6">
        <f t="shared" ca="1" si="25"/>
        <v>0.28000000000000003</v>
      </c>
      <c r="L192" s="4" t="str" cm="1">
        <f t="array" aca="1" ref="L19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192" s="8">
        <f t="shared" ca="1" si="26"/>
        <v>6748</v>
      </c>
      <c r="N192" s="4" t="str" cm="1">
        <f t="array" aca="1" ref="N192" ca="1">INDEX({"New";"Repeat"}, RANDBETWEEN(1,2))</f>
        <v>Repeat</v>
      </c>
      <c r="O192" s="4" t="str" cm="1">
        <f t="array" aca="1" ref="O192" ca="1">INDEX({"Loan";"Cash";"Lease"}, RANDBETWEEN(1,3))</f>
        <v>Cash</v>
      </c>
    </row>
    <row r="193" spans="1:15" x14ac:dyDescent="0.2">
      <c r="A193" s="4">
        <v>191</v>
      </c>
      <c r="B193" s="5">
        <f t="shared" ca="1" si="18"/>
        <v>45655</v>
      </c>
      <c r="C193" s="4" t="str" cm="1">
        <f t="array" aca="1" ref="C193" ca="1">INDEX({"Cochin";"Delhi";"Mumbai";"Pune";"Bengaluru"}, RANDBETWEEN(1,5))</f>
        <v>Bengaluru</v>
      </c>
      <c r="D193" s="4" t="str" cm="1">
        <f t="array" aca="1" ref="D193" ca="1">INDEX({"C-Class";"E-Class";"S-Class";"GLA";"GLC";"GLE";"GLS";"EQB"}, RANDBETWEEN(1,8))</f>
        <v>EQB</v>
      </c>
      <c r="E193" s="4" t="str">
        <f t="shared" ca="1" si="19"/>
        <v>EV</v>
      </c>
      <c r="F193" s="4">
        <f t="shared" ca="1" si="20"/>
        <v>5</v>
      </c>
      <c r="G193" s="8">
        <f t="shared" ca="1" si="21"/>
        <v>7848196</v>
      </c>
      <c r="H193" s="8">
        <f t="shared" ca="1" si="22"/>
        <v>39240980</v>
      </c>
      <c r="I193" s="8">
        <f t="shared" ca="1" si="23"/>
        <v>32570013.399999999</v>
      </c>
      <c r="J193" s="8">
        <f t="shared" ca="1" si="24"/>
        <v>6670966.6000000015</v>
      </c>
      <c r="K193" s="6">
        <f t="shared" ca="1" si="25"/>
        <v>0.17000000000000004</v>
      </c>
      <c r="L193" s="4" t="str" cm="1">
        <f t="array" aca="1" ref="L193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93" s="8">
        <f t="shared" ca="1" si="26"/>
        <v>5837</v>
      </c>
      <c r="N193" s="4" t="str" cm="1">
        <f t="array" aca="1" ref="N193" ca="1">INDEX({"New";"Repeat"}, RANDBETWEEN(1,2))</f>
        <v>Repeat</v>
      </c>
      <c r="O193" s="4" t="str" cm="1">
        <f t="array" aca="1" ref="O193" ca="1">INDEX({"Loan";"Cash";"Lease"}, RANDBETWEEN(1,3))</f>
        <v>Lease</v>
      </c>
    </row>
    <row r="194" spans="1:15" x14ac:dyDescent="0.2">
      <c r="A194" s="4">
        <v>192</v>
      </c>
      <c r="B194" s="5">
        <f t="shared" ca="1" si="18"/>
        <v>44961</v>
      </c>
      <c r="C194" s="4" t="str" cm="1">
        <f t="array" aca="1" ref="C194" ca="1">INDEX({"Cochin";"Delhi";"Mumbai";"Pune";"Bengaluru"}, RANDBETWEEN(1,5))</f>
        <v>Pune</v>
      </c>
      <c r="D194" s="4" t="str" cm="1">
        <f t="array" aca="1" ref="D194" ca="1">INDEX({"C-Class";"E-Class";"S-Class";"GLA";"GLC";"GLE";"GLS";"EQB"}, RANDBETWEEN(1,8))</f>
        <v>C-Class</v>
      </c>
      <c r="E194" s="4" t="str">
        <f t="shared" ca="1" si="19"/>
        <v>Sedan</v>
      </c>
      <c r="F194" s="4">
        <f t="shared" ca="1" si="20"/>
        <v>4</v>
      </c>
      <c r="G194" s="8">
        <f t="shared" ca="1" si="21"/>
        <v>6362889</v>
      </c>
      <c r="H194" s="8">
        <f t="shared" ca="1" si="22"/>
        <v>25451556</v>
      </c>
      <c r="I194" s="8">
        <f t="shared" ca="1" si="23"/>
        <v>18834151.440000001</v>
      </c>
      <c r="J194" s="8">
        <f t="shared" ca="1" si="24"/>
        <v>6617404.5599999987</v>
      </c>
      <c r="K194" s="6">
        <f t="shared" ca="1" si="25"/>
        <v>0.25999999999999995</v>
      </c>
      <c r="L194" s="4" t="str" cm="1">
        <f t="array" aca="1" ref="L19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194" s="8">
        <f t="shared" ca="1" si="26"/>
        <v>14330</v>
      </c>
      <c r="N194" s="4" t="str" cm="1">
        <f t="array" aca="1" ref="N194" ca="1">INDEX({"New";"Repeat"}, RANDBETWEEN(1,2))</f>
        <v>New</v>
      </c>
      <c r="O194" s="4" t="str" cm="1">
        <f t="array" aca="1" ref="O194" ca="1">INDEX({"Loan";"Cash";"Lease"}, RANDBETWEEN(1,3))</f>
        <v>Cash</v>
      </c>
    </row>
    <row r="195" spans="1:15" x14ac:dyDescent="0.2">
      <c r="A195" s="4">
        <v>193</v>
      </c>
      <c r="B195" s="5">
        <f t="shared" ca="1" si="18"/>
        <v>45492</v>
      </c>
      <c r="C195" s="4" t="str" cm="1">
        <f t="array" aca="1" ref="C195" ca="1">INDEX({"Cochin";"Delhi";"Mumbai";"Pune";"Bengaluru"}, RANDBETWEEN(1,5))</f>
        <v>Mumbai</v>
      </c>
      <c r="D195" s="4" t="str" cm="1">
        <f t="array" aca="1" ref="D195" ca="1">INDEX({"C-Class";"E-Class";"S-Class";"GLA";"GLC";"GLE";"GLS";"EQB"}, RANDBETWEEN(1,8))</f>
        <v>GLA</v>
      </c>
      <c r="E195" s="4" t="str">
        <f t="shared" ca="1" si="19"/>
        <v>SUV</v>
      </c>
      <c r="F195" s="4">
        <f t="shared" ca="1" si="20"/>
        <v>1</v>
      </c>
      <c r="G195" s="8">
        <f t="shared" ca="1" si="21"/>
        <v>4791138</v>
      </c>
      <c r="H195" s="8">
        <f t="shared" ca="1" si="22"/>
        <v>4791138</v>
      </c>
      <c r="I195" s="8">
        <f t="shared" ca="1" si="23"/>
        <v>3497530.74</v>
      </c>
      <c r="J195" s="8">
        <f t="shared" ca="1" si="24"/>
        <v>1293607.2599999998</v>
      </c>
      <c r="K195" s="6">
        <f t="shared" ca="1" si="25"/>
        <v>0.26999999999999996</v>
      </c>
      <c r="L195" s="4" t="str" cm="1">
        <f t="array" aca="1" ref="L195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195" s="8">
        <f t="shared" ca="1" si="26"/>
        <v>7563</v>
      </c>
      <c r="N195" s="4" t="str" cm="1">
        <f t="array" aca="1" ref="N195" ca="1">INDEX({"New";"Repeat"}, RANDBETWEEN(1,2))</f>
        <v>Repeat</v>
      </c>
      <c r="O195" s="4" t="str" cm="1">
        <f t="array" aca="1" ref="O195" ca="1">INDEX({"Loan";"Cash";"Lease"}, RANDBETWEEN(1,3))</f>
        <v>Lease</v>
      </c>
    </row>
    <row r="196" spans="1:15" x14ac:dyDescent="0.2">
      <c r="A196" s="4">
        <v>194</v>
      </c>
      <c r="B196" s="5">
        <f t="shared" ref="B196:B259" ca="1" si="27">RANDBETWEEN(DATE(2023,1,1),DATE(2025,9,1))</f>
        <v>45653</v>
      </c>
      <c r="C196" s="4" t="str" cm="1">
        <f t="array" aca="1" ref="C196" ca="1">INDEX({"Cochin";"Delhi";"Mumbai";"Pune";"Bengaluru"}, RANDBETWEEN(1,5))</f>
        <v>Delhi</v>
      </c>
      <c r="D196" s="4" t="str" cm="1">
        <f t="array" aca="1" ref="D196" ca="1">INDEX({"C-Class";"E-Class";"S-Class";"GLA";"GLC";"GLE";"GLS";"EQB"}, RANDBETWEEN(1,8))</f>
        <v>EQB</v>
      </c>
      <c r="E196" s="4" t="str">
        <f t="shared" ref="E196:E259" ca="1" si="28">IF(D196="EQB","EV", IF(OR(D196="GLA",D196="GLC",D196="GLE",D196="GLS"),"SUV","Sedan"))</f>
        <v>EV</v>
      </c>
      <c r="F196" s="4">
        <f t="shared" ref="F196:F259" ca="1" si="29">RANDBETWEEN(1,5)</f>
        <v>5</v>
      </c>
      <c r="G196" s="8">
        <f t="shared" ref="G196:G259" ca="1" si="30">IF(D196="C-Class",RANDBETWEEN(5500000,7000000),
IF(D196="E-Class",RANDBETWEEN(7500000,9500000),
IF(D196="S-Class",RANDBETWEEN(15000000,25000000),
IF(D196="GLA",RANDBETWEEN(4500000,5500000),
IF(D196="GLC",RANDBETWEEN(6500000,7500000),
IF(D196="GLE",RANDBETWEEN(9000000,13000000),
IF(D196="GLS",RANDBETWEEN(13000000,18000000),
IF(D196="EQB",RANDBETWEEN(7000000,8000000)))))))))</f>
        <v>7278813</v>
      </c>
      <c r="H196" s="8">
        <f t="shared" ref="H196:H259" ca="1" si="31">F196*G196</f>
        <v>36394065</v>
      </c>
      <c r="I196" s="8">
        <f t="shared" ref="I196:I259" ca="1" si="32">G196 *F196* RANDBETWEEN(70,85) / 100</f>
        <v>30207073.949999999</v>
      </c>
      <c r="J196" s="8">
        <f t="shared" ref="J196:J259" ca="1" si="33">H196 -I196</f>
        <v>6186991.0500000007</v>
      </c>
      <c r="K196" s="6">
        <f t="shared" ref="K196:K259" ca="1" si="34">J196/H196</f>
        <v>0.17</v>
      </c>
      <c r="L196" s="4" t="str" cm="1">
        <f t="array" aca="1" ref="L19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96" s="8">
        <f t="shared" ref="M196:M259" ca="1" si="35">IF(N196="New", RANDBETWEEN(10000,25000), RANDBETWEEN(3000,8000))</f>
        <v>5513</v>
      </c>
      <c r="N196" s="4" t="str" cm="1">
        <f t="array" aca="1" ref="N196" ca="1">INDEX({"New";"Repeat"}, RANDBETWEEN(1,2))</f>
        <v>Repeat</v>
      </c>
      <c r="O196" s="4" t="str" cm="1">
        <f t="array" aca="1" ref="O196" ca="1">INDEX({"Loan";"Cash";"Lease"}, RANDBETWEEN(1,3))</f>
        <v>Lease</v>
      </c>
    </row>
    <row r="197" spans="1:15" x14ac:dyDescent="0.2">
      <c r="A197" s="4">
        <v>195</v>
      </c>
      <c r="B197" s="5">
        <f t="shared" ca="1" si="27"/>
        <v>45683</v>
      </c>
      <c r="C197" s="4" t="str" cm="1">
        <f t="array" aca="1" ref="C197" ca="1">INDEX({"Cochin";"Delhi";"Mumbai";"Pune";"Bengaluru"}, RANDBETWEEN(1,5))</f>
        <v>Bengaluru</v>
      </c>
      <c r="D197" s="4" t="str" cm="1">
        <f t="array" aca="1" ref="D197" ca="1">INDEX({"C-Class";"E-Class";"S-Class";"GLA";"GLC";"GLE";"GLS";"EQB"}, RANDBETWEEN(1,8))</f>
        <v>EQB</v>
      </c>
      <c r="E197" s="4" t="str">
        <f t="shared" ca="1" si="28"/>
        <v>EV</v>
      </c>
      <c r="F197" s="4">
        <f t="shared" ca="1" si="29"/>
        <v>3</v>
      </c>
      <c r="G197" s="8">
        <f t="shared" ca="1" si="30"/>
        <v>7457410</v>
      </c>
      <c r="H197" s="8">
        <f t="shared" ca="1" si="31"/>
        <v>22372230</v>
      </c>
      <c r="I197" s="8">
        <f t="shared" ca="1" si="32"/>
        <v>19016395.5</v>
      </c>
      <c r="J197" s="8">
        <f t="shared" ca="1" si="33"/>
        <v>3355834.5</v>
      </c>
      <c r="K197" s="6">
        <f t="shared" ca="1" si="34"/>
        <v>0.15</v>
      </c>
      <c r="L197" s="4" t="str" cm="1">
        <f t="array" aca="1" ref="L19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97" s="8">
        <f t="shared" ca="1" si="35"/>
        <v>11220</v>
      </c>
      <c r="N197" s="4" t="str" cm="1">
        <f t="array" aca="1" ref="N197" ca="1">INDEX({"New";"Repeat"}, RANDBETWEEN(1,2))</f>
        <v>New</v>
      </c>
      <c r="O197" s="4" t="str" cm="1">
        <f t="array" aca="1" ref="O197" ca="1">INDEX({"Loan";"Cash";"Lease"}, RANDBETWEEN(1,3))</f>
        <v>Loan</v>
      </c>
    </row>
    <row r="198" spans="1:15" x14ac:dyDescent="0.2">
      <c r="A198" s="4">
        <v>196</v>
      </c>
      <c r="B198" s="5">
        <f t="shared" ca="1" si="27"/>
        <v>45268</v>
      </c>
      <c r="C198" s="4" t="str" cm="1">
        <f t="array" aca="1" ref="C198" ca="1">INDEX({"Cochin";"Delhi";"Mumbai";"Pune";"Bengaluru"}, RANDBETWEEN(1,5))</f>
        <v>Mumbai</v>
      </c>
      <c r="D198" s="4" t="str" cm="1">
        <f t="array" aca="1" ref="D198" ca="1">INDEX({"C-Class";"E-Class";"S-Class";"GLA";"GLC";"GLE";"GLS";"EQB"}, RANDBETWEEN(1,8))</f>
        <v>E-Class</v>
      </c>
      <c r="E198" s="4" t="str">
        <f t="shared" ca="1" si="28"/>
        <v>Sedan</v>
      </c>
      <c r="F198" s="4">
        <f t="shared" ca="1" si="29"/>
        <v>5</v>
      </c>
      <c r="G198" s="8">
        <f t="shared" ca="1" si="30"/>
        <v>9293017</v>
      </c>
      <c r="H198" s="8">
        <f t="shared" ca="1" si="31"/>
        <v>46465085</v>
      </c>
      <c r="I198" s="8">
        <f t="shared" ca="1" si="32"/>
        <v>35778115.450000003</v>
      </c>
      <c r="J198" s="8">
        <f t="shared" ca="1" si="33"/>
        <v>10686969.549999997</v>
      </c>
      <c r="K198" s="6">
        <f t="shared" ca="1" si="34"/>
        <v>0.22999999999999993</v>
      </c>
      <c r="L198" s="4" t="str" cm="1">
        <f t="array" aca="1" ref="L198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198" s="8">
        <f t="shared" ca="1" si="35"/>
        <v>23745</v>
      </c>
      <c r="N198" s="4" t="str" cm="1">
        <f t="array" aca="1" ref="N198" ca="1">INDEX({"New";"Repeat"}, RANDBETWEEN(1,2))</f>
        <v>New</v>
      </c>
      <c r="O198" s="4" t="str" cm="1">
        <f t="array" aca="1" ref="O198" ca="1">INDEX({"Loan";"Cash";"Lease"}, RANDBETWEEN(1,3))</f>
        <v>Loan</v>
      </c>
    </row>
    <row r="199" spans="1:15" x14ac:dyDescent="0.2">
      <c r="A199" s="4">
        <v>197</v>
      </c>
      <c r="B199" s="5">
        <f t="shared" ca="1" si="27"/>
        <v>45442</v>
      </c>
      <c r="C199" s="4" t="str" cm="1">
        <f t="array" aca="1" ref="C199" ca="1">INDEX({"Cochin";"Delhi";"Mumbai";"Pune";"Bengaluru"}, RANDBETWEEN(1,5))</f>
        <v>Bengaluru</v>
      </c>
      <c r="D199" s="4" t="str" cm="1">
        <f t="array" aca="1" ref="D199" ca="1">INDEX({"C-Class";"E-Class";"S-Class";"GLA";"GLC";"GLE";"GLS";"EQB"}, RANDBETWEEN(1,8))</f>
        <v>E-Class</v>
      </c>
      <c r="E199" s="4" t="str">
        <f t="shared" ca="1" si="28"/>
        <v>Sedan</v>
      </c>
      <c r="F199" s="4">
        <f t="shared" ca="1" si="29"/>
        <v>4</v>
      </c>
      <c r="G199" s="8">
        <f t="shared" ca="1" si="30"/>
        <v>9070517</v>
      </c>
      <c r="H199" s="8">
        <f t="shared" ca="1" si="31"/>
        <v>36282068</v>
      </c>
      <c r="I199" s="8">
        <f t="shared" ca="1" si="32"/>
        <v>26848730.32</v>
      </c>
      <c r="J199" s="8">
        <f t="shared" ca="1" si="33"/>
        <v>9433337.6799999997</v>
      </c>
      <c r="K199" s="6">
        <f t="shared" ca="1" si="34"/>
        <v>0.26</v>
      </c>
      <c r="L199" s="4" t="str" cm="1">
        <f t="array" aca="1" ref="L19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199" s="8">
        <f t="shared" ca="1" si="35"/>
        <v>7462</v>
      </c>
      <c r="N199" s="4" t="str" cm="1">
        <f t="array" aca="1" ref="N199" ca="1">INDEX({"New";"Repeat"}, RANDBETWEEN(1,2))</f>
        <v>Repeat</v>
      </c>
      <c r="O199" s="4" t="str" cm="1">
        <f t="array" aca="1" ref="O199" ca="1">INDEX({"Loan";"Cash";"Lease"}, RANDBETWEEN(1,3))</f>
        <v>Loan</v>
      </c>
    </row>
    <row r="200" spans="1:15" x14ac:dyDescent="0.2">
      <c r="A200" s="4">
        <v>198</v>
      </c>
      <c r="B200" s="5">
        <f t="shared" ca="1" si="27"/>
        <v>45417</v>
      </c>
      <c r="C200" s="4" t="str" cm="1">
        <f t="array" aca="1" ref="C200" ca="1">INDEX({"Cochin";"Delhi";"Mumbai";"Pune";"Bengaluru"}, RANDBETWEEN(1,5))</f>
        <v>Mumbai</v>
      </c>
      <c r="D200" s="4" t="str" cm="1">
        <f t="array" aca="1" ref="D200" ca="1">INDEX({"C-Class";"E-Class";"S-Class";"GLA";"GLC";"GLE";"GLS";"EQB"}, RANDBETWEEN(1,8))</f>
        <v>GLC</v>
      </c>
      <c r="E200" s="4" t="str">
        <f t="shared" ca="1" si="28"/>
        <v>SUV</v>
      </c>
      <c r="F200" s="4">
        <f t="shared" ca="1" si="29"/>
        <v>5</v>
      </c>
      <c r="G200" s="8">
        <f t="shared" ca="1" si="30"/>
        <v>7464912</v>
      </c>
      <c r="H200" s="8">
        <f t="shared" ca="1" si="31"/>
        <v>37324560</v>
      </c>
      <c r="I200" s="8">
        <f t="shared" ca="1" si="32"/>
        <v>30232893.600000001</v>
      </c>
      <c r="J200" s="8">
        <f t="shared" ca="1" si="33"/>
        <v>7091666.3999999985</v>
      </c>
      <c r="K200" s="6">
        <f t="shared" ca="1" si="34"/>
        <v>0.18999999999999995</v>
      </c>
      <c r="L200" s="4" t="str" cm="1">
        <f t="array" aca="1" ref="L20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00" s="8">
        <f t="shared" ca="1" si="35"/>
        <v>13459</v>
      </c>
      <c r="N200" s="4" t="str" cm="1">
        <f t="array" aca="1" ref="N200" ca="1">INDEX({"New";"Repeat"}, RANDBETWEEN(1,2))</f>
        <v>New</v>
      </c>
      <c r="O200" s="4" t="str" cm="1">
        <f t="array" aca="1" ref="O200" ca="1">INDEX({"Loan";"Cash";"Lease"}, RANDBETWEEN(1,3))</f>
        <v>Lease</v>
      </c>
    </row>
    <row r="201" spans="1:15" x14ac:dyDescent="0.2">
      <c r="A201" s="4">
        <v>199</v>
      </c>
      <c r="B201" s="5">
        <f t="shared" ca="1" si="27"/>
        <v>44967</v>
      </c>
      <c r="C201" s="4" t="str" cm="1">
        <f t="array" aca="1" ref="C201" ca="1">INDEX({"Cochin";"Delhi";"Mumbai";"Pune";"Bengaluru"}, RANDBETWEEN(1,5))</f>
        <v>Mumbai</v>
      </c>
      <c r="D201" s="4" t="str" cm="1">
        <f t="array" aca="1" ref="D201" ca="1">INDEX({"C-Class";"E-Class";"S-Class";"GLA";"GLC";"GLE";"GLS";"EQB"}, RANDBETWEEN(1,8))</f>
        <v>C-Class</v>
      </c>
      <c r="E201" s="4" t="str">
        <f t="shared" ca="1" si="28"/>
        <v>Sedan</v>
      </c>
      <c r="F201" s="4">
        <f t="shared" ca="1" si="29"/>
        <v>3</v>
      </c>
      <c r="G201" s="8">
        <f t="shared" ca="1" si="30"/>
        <v>6557596</v>
      </c>
      <c r="H201" s="8">
        <f t="shared" ca="1" si="31"/>
        <v>19672788</v>
      </c>
      <c r="I201" s="8">
        <f t="shared" ca="1" si="32"/>
        <v>15541502.52</v>
      </c>
      <c r="J201" s="8">
        <f t="shared" ca="1" si="33"/>
        <v>4131285.4800000004</v>
      </c>
      <c r="K201" s="6">
        <f t="shared" ca="1" si="34"/>
        <v>0.21000000000000002</v>
      </c>
      <c r="L201" s="4" t="str" cm="1">
        <f t="array" aca="1" ref="L20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01" s="8">
        <f t="shared" ca="1" si="35"/>
        <v>13218</v>
      </c>
      <c r="N201" s="4" t="str" cm="1">
        <f t="array" aca="1" ref="N201" ca="1">INDEX({"New";"Repeat"}, RANDBETWEEN(1,2))</f>
        <v>New</v>
      </c>
      <c r="O201" s="4" t="str" cm="1">
        <f t="array" aca="1" ref="O201" ca="1">INDEX({"Loan";"Cash";"Lease"}, RANDBETWEEN(1,3))</f>
        <v>Cash</v>
      </c>
    </row>
    <row r="202" spans="1:15" x14ac:dyDescent="0.2">
      <c r="A202" s="4">
        <v>200</v>
      </c>
      <c r="B202" s="5">
        <f t="shared" ca="1" si="27"/>
        <v>45886</v>
      </c>
      <c r="C202" s="4" t="str" cm="1">
        <f t="array" aca="1" ref="C202" ca="1">INDEX({"Cochin";"Delhi";"Mumbai";"Pune";"Bengaluru"}, RANDBETWEEN(1,5))</f>
        <v>Mumbai</v>
      </c>
      <c r="D202" s="4" t="str" cm="1">
        <f t="array" aca="1" ref="D202" ca="1">INDEX({"C-Class";"E-Class";"S-Class";"GLA";"GLC";"GLE";"GLS";"EQB"}, RANDBETWEEN(1,8))</f>
        <v>GLE</v>
      </c>
      <c r="E202" s="4" t="str">
        <f t="shared" ca="1" si="28"/>
        <v>SUV</v>
      </c>
      <c r="F202" s="4">
        <f t="shared" ca="1" si="29"/>
        <v>1</v>
      </c>
      <c r="G202" s="8">
        <f t="shared" ca="1" si="30"/>
        <v>12687659</v>
      </c>
      <c r="H202" s="8">
        <f t="shared" ca="1" si="31"/>
        <v>12687659</v>
      </c>
      <c r="I202" s="8">
        <f t="shared" ca="1" si="32"/>
        <v>10023250.609999999</v>
      </c>
      <c r="J202" s="8">
        <f t="shared" ca="1" si="33"/>
        <v>2664408.3900000006</v>
      </c>
      <c r="K202" s="6">
        <f t="shared" ca="1" si="34"/>
        <v>0.21000000000000005</v>
      </c>
      <c r="L202" s="4" t="str" cm="1">
        <f t="array" aca="1" ref="L20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02" s="8">
        <f t="shared" ca="1" si="35"/>
        <v>20429</v>
      </c>
      <c r="N202" s="4" t="str" cm="1">
        <f t="array" aca="1" ref="N202" ca="1">INDEX({"New";"Repeat"}, RANDBETWEEN(1,2))</f>
        <v>New</v>
      </c>
      <c r="O202" s="4" t="str" cm="1">
        <f t="array" aca="1" ref="O202" ca="1">INDEX({"Loan";"Cash";"Lease"}, RANDBETWEEN(1,3))</f>
        <v>Cash</v>
      </c>
    </row>
    <row r="203" spans="1:15" x14ac:dyDescent="0.2">
      <c r="A203" s="4">
        <v>201</v>
      </c>
      <c r="B203" s="5">
        <f t="shared" ca="1" si="27"/>
        <v>45680</v>
      </c>
      <c r="C203" s="4" t="str" cm="1">
        <f t="array" aca="1" ref="C203" ca="1">INDEX({"Cochin";"Delhi";"Mumbai";"Pune";"Bengaluru"}, RANDBETWEEN(1,5))</f>
        <v>Mumbai</v>
      </c>
      <c r="D203" s="4" t="str" cm="1">
        <f t="array" aca="1" ref="D203" ca="1">INDEX({"C-Class";"E-Class";"S-Class";"GLA";"GLC";"GLE";"GLS";"EQB"}, RANDBETWEEN(1,8))</f>
        <v>GLC</v>
      </c>
      <c r="E203" s="4" t="str">
        <f t="shared" ca="1" si="28"/>
        <v>SUV</v>
      </c>
      <c r="F203" s="4">
        <f t="shared" ca="1" si="29"/>
        <v>3</v>
      </c>
      <c r="G203" s="8">
        <f t="shared" ca="1" si="30"/>
        <v>6766523</v>
      </c>
      <c r="H203" s="8">
        <f t="shared" ca="1" si="31"/>
        <v>20299569</v>
      </c>
      <c r="I203" s="8">
        <f t="shared" ca="1" si="32"/>
        <v>16645646.58</v>
      </c>
      <c r="J203" s="8">
        <f t="shared" ca="1" si="33"/>
        <v>3653922.42</v>
      </c>
      <c r="K203" s="6">
        <f t="shared" ca="1" si="34"/>
        <v>0.18</v>
      </c>
      <c r="L203" s="4" t="str" cm="1">
        <f t="array" aca="1" ref="L20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03" s="8">
        <f t="shared" ca="1" si="35"/>
        <v>12225</v>
      </c>
      <c r="N203" s="4" t="str" cm="1">
        <f t="array" aca="1" ref="N203" ca="1">INDEX({"New";"Repeat"}, RANDBETWEEN(1,2))</f>
        <v>New</v>
      </c>
      <c r="O203" s="4" t="str" cm="1">
        <f t="array" aca="1" ref="O203" ca="1">INDEX({"Loan";"Cash";"Lease"}, RANDBETWEEN(1,3))</f>
        <v>Lease</v>
      </c>
    </row>
    <row r="204" spans="1:15" x14ac:dyDescent="0.2">
      <c r="A204" s="4">
        <v>202</v>
      </c>
      <c r="B204" s="5">
        <f t="shared" ca="1" si="27"/>
        <v>45764</v>
      </c>
      <c r="C204" s="4" t="str" cm="1">
        <f t="array" aca="1" ref="C204" ca="1">INDEX({"Cochin";"Delhi";"Mumbai";"Pune";"Bengaluru"}, RANDBETWEEN(1,5))</f>
        <v>Mumbai</v>
      </c>
      <c r="D204" s="4" t="str" cm="1">
        <f t="array" aca="1" ref="D204" ca="1">INDEX({"C-Class";"E-Class";"S-Class";"GLA";"GLC";"GLE";"GLS";"EQB"}, RANDBETWEEN(1,8))</f>
        <v>S-Class</v>
      </c>
      <c r="E204" s="4" t="str">
        <f t="shared" ca="1" si="28"/>
        <v>Sedan</v>
      </c>
      <c r="F204" s="4">
        <f t="shared" ca="1" si="29"/>
        <v>1</v>
      </c>
      <c r="G204" s="8">
        <f t="shared" ca="1" si="30"/>
        <v>24801966</v>
      </c>
      <c r="H204" s="8">
        <f t="shared" ca="1" si="31"/>
        <v>24801966</v>
      </c>
      <c r="I204" s="8">
        <f t="shared" ca="1" si="32"/>
        <v>19593553.140000001</v>
      </c>
      <c r="J204" s="8">
        <f t="shared" ca="1" si="33"/>
        <v>5208412.8599999994</v>
      </c>
      <c r="K204" s="6">
        <f t="shared" ca="1" si="34"/>
        <v>0.20999999999999996</v>
      </c>
      <c r="L204" s="4" t="str" cm="1">
        <f t="array" aca="1" ref="L20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04" s="8">
        <f t="shared" ca="1" si="35"/>
        <v>7468</v>
      </c>
      <c r="N204" s="4" t="str" cm="1">
        <f t="array" aca="1" ref="N204" ca="1">INDEX({"New";"Repeat"}, RANDBETWEEN(1,2))</f>
        <v>Repeat</v>
      </c>
      <c r="O204" s="4" t="str" cm="1">
        <f t="array" aca="1" ref="O204" ca="1">INDEX({"Loan";"Cash";"Lease"}, RANDBETWEEN(1,3))</f>
        <v>Loan</v>
      </c>
    </row>
    <row r="205" spans="1:15" x14ac:dyDescent="0.2">
      <c r="A205" s="4">
        <v>203</v>
      </c>
      <c r="B205" s="5">
        <f t="shared" ca="1" si="27"/>
        <v>45626</v>
      </c>
      <c r="C205" s="4" t="str" cm="1">
        <f t="array" aca="1" ref="C205" ca="1">INDEX({"Cochin";"Delhi";"Mumbai";"Pune";"Bengaluru"}, RANDBETWEEN(1,5))</f>
        <v>Bengaluru</v>
      </c>
      <c r="D205" s="4" t="str" cm="1">
        <f t="array" aca="1" ref="D205" ca="1">INDEX({"C-Class";"E-Class";"S-Class";"GLA";"GLC";"GLE";"GLS";"EQB"}, RANDBETWEEN(1,8))</f>
        <v>S-Class</v>
      </c>
      <c r="E205" s="4" t="str">
        <f t="shared" ca="1" si="28"/>
        <v>Sedan</v>
      </c>
      <c r="F205" s="4">
        <f t="shared" ca="1" si="29"/>
        <v>3</v>
      </c>
      <c r="G205" s="8">
        <f t="shared" ca="1" si="30"/>
        <v>21464688</v>
      </c>
      <c r="H205" s="8">
        <f t="shared" ca="1" si="31"/>
        <v>64394064</v>
      </c>
      <c r="I205" s="8">
        <f t="shared" ca="1" si="32"/>
        <v>45075844.799999997</v>
      </c>
      <c r="J205" s="8">
        <f t="shared" ca="1" si="33"/>
        <v>19318219.200000003</v>
      </c>
      <c r="K205" s="6">
        <f t="shared" ca="1" si="34"/>
        <v>0.30000000000000004</v>
      </c>
      <c r="L205" s="4" t="str" cm="1">
        <f t="array" aca="1" ref="L205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05" s="8">
        <f t="shared" ca="1" si="35"/>
        <v>20172</v>
      </c>
      <c r="N205" s="4" t="str" cm="1">
        <f t="array" aca="1" ref="N205" ca="1">INDEX({"New";"Repeat"}, RANDBETWEEN(1,2))</f>
        <v>New</v>
      </c>
      <c r="O205" s="4" t="str" cm="1">
        <f t="array" aca="1" ref="O205" ca="1">INDEX({"Loan";"Cash";"Lease"}, RANDBETWEEN(1,3))</f>
        <v>Loan</v>
      </c>
    </row>
    <row r="206" spans="1:15" x14ac:dyDescent="0.2">
      <c r="A206" s="4">
        <v>204</v>
      </c>
      <c r="B206" s="5">
        <f t="shared" ca="1" si="27"/>
        <v>45756</v>
      </c>
      <c r="C206" s="4" t="str" cm="1">
        <f t="array" aca="1" ref="C206" ca="1">INDEX({"Cochin";"Delhi";"Mumbai";"Pune";"Bengaluru"}, RANDBETWEEN(1,5))</f>
        <v>Mumbai</v>
      </c>
      <c r="D206" s="4" t="str" cm="1">
        <f t="array" aca="1" ref="D206" ca="1">INDEX({"C-Class";"E-Class";"S-Class";"GLA";"GLC";"GLE";"GLS";"EQB"}, RANDBETWEEN(1,8))</f>
        <v>GLA</v>
      </c>
      <c r="E206" s="4" t="str">
        <f t="shared" ca="1" si="28"/>
        <v>SUV</v>
      </c>
      <c r="F206" s="4">
        <f t="shared" ca="1" si="29"/>
        <v>1</v>
      </c>
      <c r="G206" s="8">
        <f t="shared" ca="1" si="30"/>
        <v>5473766</v>
      </c>
      <c r="H206" s="8">
        <f t="shared" ca="1" si="31"/>
        <v>5473766</v>
      </c>
      <c r="I206" s="8">
        <f t="shared" ca="1" si="32"/>
        <v>4214799.82</v>
      </c>
      <c r="J206" s="8">
        <f t="shared" ca="1" si="33"/>
        <v>1258966.1799999997</v>
      </c>
      <c r="K206" s="6">
        <f t="shared" ca="1" si="34"/>
        <v>0.22999999999999995</v>
      </c>
      <c r="L206" s="4" t="str" cm="1">
        <f t="array" aca="1" ref="L206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06" s="8">
        <f t="shared" ca="1" si="35"/>
        <v>6514</v>
      </c>
      <c r="N206" s="4" t="str" cm="1">
        <f t="array" aca="1" ref="N206" ca="1">INDEX({"New";"Repeat"}, RANDBETWEEN(1,2))</f>
        <v>Repeat</v>
      </c>
      <c r="O206" s="4" t="str" cm="1">
        <f t="array" aca="1" ref="O206" ca="1">INDEX({"Loan";"Cash";"Lease"}, RANDBETWEEN(1,3))</f>
        <v>Loan</v>
      </c>
    </row>
    <row r="207" spans="1:15" x14ac:dyDescent="0.2">
      <c r="A207" s="4">
        <v>205</v>
      </c>
      <c r="B207" s="5">
        <f t="shared" ca="1" si="27"/>
        <v>45131</v>
      </c>
      <c r="C207" s="4" t="str" cm="1">
        <f t="array" aca="1" ref="C207" ca="1">INDEX({"Cochin";"Delhi";"Mumbai";"Pune";"Bengaluru"}, RANDBETWEEN(1,5))</f>
        <v>Delhi</v>
      </c>
      <c r="D207" s="4" t="str" cm="1">
        <f t="array" aca="1" ref="D207" ca="1">INDEX({"C-Class";"E-Class";"S-Class";"GLA";"GLC";"GLE";"GLS";"EQB"}, RANDBETWEEN(1,8))</f>
        <v>GLS</v>
      </c>
      <c r="E207" s="4" t="str">
        <f t="shared" ca="1" si="28"/>
        <v>SUV</v>
      </c>
      <c r="F207" s="4">
        <f t="shared" ca="1" si="29"/>
        <v>4</v>
      </c>
      <c r="G207" s="8">
        <f t="shared" ca="1" si="30"/>
        <v>14778504</v>
      </c>
      <c r="H207" s="8">
        <f t="shared" ca="1" si="31"/>
        <v>59114016</v>
      </c>
      <c r="I207" s="8">
        <f t="shared" ca="1" si="32"/>
        <v>47291212.799999997</v>
      </c>
      <c r="J207" s="8">
        <f t="shared" ca="1" si="33"/>
        <v>11822803.200000003</v>
      </c>
      <c r="K207" s="6">
        <f t="shared" ca="1" si="34"/>
        <v>0.20000000000000004</v>
      </c>
      <c r="L207" s="4" t="str" cm="1">
        <f t="array" aca="1" ref="L207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207" s="8">
        <f t="shared" ca="1" si="35"/>
        <v>3561</v>
      </c>
      <c r="N207" s="4" t="str" cm="1">
        <f t="array" aca="1" ref="N207" ca="1">INDEX({"New";"Repeat"}, RANDBETWEEN(1,2))</f>
        <v>Repeat</v>
      </c>
      <c r="O207" s="4" t="str" cm="1">
        <f t="array" aca="1" ref="O207" ca="1">INDEX({"Loan";"Cash";"Lease"}, RANDBETWEEN(1,3))</f>
        <v>Cash</v>
      </c>
    </row>
    <row r="208" spans="1:15" x14ac:dyDescent="0.2">
      <c r="A208" s="4">
        <v>206</v>
      </c>
      <c r="B208" s="5">
        <f t="shared" ca="1" si="27"/>
        <v>45189</v>
      </c>
      <c r="C208" s="4" t="str" cm="1">
        <f t="array" aca="1" ref="C208" ca="1">INDEX({"Cochin";"Delhi";"Mumbai";"Pune";"Bengaluru"}, RANDBETWEEN(1,5))</f>
        <v>Delhi</v>
      </c>
      <c r="D208" s="4" t="str" cm="1">
        <f t="array" aca="1" ref="D208" ca="1">INDEX({"C-Class";"E-Class";"S-Class";"GLA";"GLC";"GLE";"GLS";"EQB"}, RANDBETWEEN(1,8))</f>
        <v>GLS</v>
      </c>
      <c r="E208" s="4" t="str">
        <f t="shared" ca="1" si="28"/>
        <v>SUV</v>
      </c>
      <c r="F208" s="4">
        <f t="shared" ca="1" si="29"/>
        <v>3</v>
      </c>
      <c r="G208" s="8">
        <f t="shared" ca="1" si="30"/>
        <v>14198973</v>
      </c>
      <c r="H208" s="8">
        <f t="shared" ca="1" si="31"/>
        <v>42596919</v>
      </c>
      <c r="I208" s="8">
        <f t="shared" ca="1" si="32"/>
        <v>29817843.300000001</v>
      </c>
      <c r="J208" s="8">
        <f t="shared" ca="1" si="33"/>
        <v>12779075.699999999</v>
      </c>
      <c r="K208" s="6">
        <f t="shared" ca="1" si="34"/>
        <v>0.3</v>
      </c>
      <c r="L208" s="4" t="str" cm="1">
        <f t="array" aca="1" ref="L208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08" s="8">
        <f t="shared" ca="1" si="35"/>
        <v>6607</v>
      </c>
      <c r="N208" s="4" t="str" cm="1">
        <f t="array" aca="1" ref="N208" ca="1">INDEX({"New";"Repeat"}, RANDBETWEEN(1,2))</f>
        <v>Repeat</v>
      </c>
      <c r="O208" s="4" t="str" cm="1">
        <f t="array" aca="1" ref="O208" ca="1">INDEX({"Loan";"Cash";"Lease"}, RANDBETWEEN(1,3))</f>
        <v>Lease</v>
      </c>
    </row>
    <row r="209" spans="1:15" x14ac:dyDescent="0.2">
      <c r="A209" s="4">
        <v>207</v>
      </c>
      <c r="B209" s="5">
        <f t="shared" ca="1" si="27"/>
        <v>45381</v>
      </c>
      <c r="C209" s="4" t="str" cm="1">
        <f t="array" aca="1" ref="C209" ca="1">INDEX({"Cochin";"Delhi";"Mumbai";"Pune";"Bengaluru"}, RANDBETWEEN(1,5))</f>
        <v>Pune</v>
      </c>
      <c r="D209" s="4" t="str" cm="1">
        <f t="array" aca="1" ref="D209" ca="1">INDEX({"C-Class";"E-Class";"S-Class";"GLA";"GLC";"GLE";"GLS";"EQB"}, RANDBETWEEN(1,8))</f>
        <v>GLE</v>
      </c>
      <c r="E209" s="4" t="str">
        <f t="shared" ca="1" si="28"/>
        <v>SUV</v>
      </c>
      <c r="F209" s="4">
        <f t="shared" ca="1" si="29"/>
        <v>1</v>
      </c>
      <c r="G209" s="8">
        <f t="shared" ca="1" si="30"/>
        <v>9810588</v>
      </c>
      <c r="H209" s="8">
        <f t="shared" ca="1" si="31"/>
        <v>9810588</v>
      </c>
      <c r="I209" s="8">
        <f t="shared" ca="1" si="32"/>
        <v>7750364.5199999996</v>
      </c>
      <c r="J209" s="8">
        <f t="shared" ca="1" si="33"/>
        <v>2060223.4800000004</v>
      </c>
      <c r="K209" s="6">
        <f t="shared" ca="1" si="34"/>
        <v>0.21000000000000005</v>
      </c>
      <c r="L209" s="4" t="str" cm="1">
        <f t="array" aca="1" ref="L20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09" s="8">
        <f t="shared" ca="1" si="35"/>
        <v>22972</v>
      </c>
      <c r="N209" s="4" t="str" cm="1">
        <f t="array" aca="1" ref="N209" ca="1">INDEX({"New";"Repeat"}, RANDBETWEEN(1,2))</f>
        <v>New</v>
      </c>
      <c r="O209" s="4" t="str" cm="1">
        <f t="array" aca="1" ref="O209" ca="1">INDEX({"Loan";"Cash";"Lease"}, RANDBETWEEN(1,3))</f>
        <v>Lease</v>
      </c>
    </row>
    <row r="210" spans="1:15" x14ac:dyDescent="0.2">
      <c r="A210" s="4">
        <v>208</v>
      </c>
      <c r="B210" s="5">
        <f t="shared" ca="1" si="27"/>
        <v>45131</v>
      </c>
      <c r="C210" s="4" t="str" cm="1">
        <f t="array" aca="1" ref="C210" ca="1">INDEX({"Cochin";"Delhi";"Mumbai";"Pune";"Bengaluru"}, RANDBETWEEN(1,5))</f>
        <v>Bengaluru</v>
      </c>
      <c r="D210" s="4" t="str" cm="1">
        <f t="array" aca="1" ref="D210" ca="1">INDEX({"C-Class";"E-Class";"S-Class";"GLA";"GLC";"GLE";"GLS";"EQB"}, RANDBETWEEN(1,8))</f>
        <v>GLE</v>
      </c>
      <c r="E210" s="4" t="str">
        <f t="shared" ca="1" si="28"/>
        <v>SUV</v>
      </c>
      <c r="F210" s="4">
        <f t="shared" ca="1" si="29"/>
        <v>5</v>
      </c>
      <c r="G210" s="8">
        <f t="shared" ca="1" si="30"/>
        <v>11036310</v>
      </c>
      <c r="H210" s="8">
        <f t="shared" ca="1" si="31"/>
        <v>55181550</v>
      </c>
      <c r="I210" s="8">
        <f t="shared" ca="1" si="32"/>
        <v>42489793.5</v>
      </c>
      <c r="J210" s="8">
        <f t="shared" ca="1" si="33"/>
        <v>12691756.5</v>
      </c>
      <c r="K210" s="6">
        <f t="shared" ca="1" si="34"/>
        <v>0.23</v>
      </c>
      <c r="L210" s="4" t="str" cm="1">
        <f t="array" aca="1" ref="L210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210" s="8">
        <f t="shared" ca="1" si="35"/>
        <v>6307</v>
      </c>
      <c r="N210" s="4" t="str" cm="1">
        <f t="array" aca="1" ref="N210" ca="1">INDEX({"New";"Repeat"}, RANDBETWEEN(1,2))</f>
        <v>Repeat</v>
      </c>
      <c r="O210" s="4" t="str" cm="1">
        <f t="array" aca="1" ref="O210" ca="1">INDEX({"Loan";"Cash";"Lease"}, RANDBETWEEN(1,3))</f>
        <v>Loan</v>
      </c>
    </row>
    <row r="211" spans="1:15" x14ac:dyDescent="0.2">
      <c r="A211" s="4">
        <v>209</v>
      </c>
      <c r="B211" s="5">
        <f t="shared" ca="1" si="27"/>
        <v>45517</v>
      </c>
      <c r="C211" s="4" t="str" cm="1">
        <f t="array" aca="1" ref="C211" ca="1">INDEX({"Cochin";"Delhi";"Mumbai";"Pune";"Bengaluru"}, RANDBETWEEN(1,5))</f>
        <v>Mumbai</v>
      </c>
      <c r="D211" s="4" t="str" cm="1">
        <f t="array" aca="1" ref="D211" ca="1">INDEX({"C-Class";"E-Class";"S-Class";"GLA";"GLC";"GLE";"GLS";"EQB"}, RANDBETWEEN(1,8))</f>
        <v>S-Class</v>
      </c>
      <c r="E211" s="4" t="str">
        <f t="shared" ca="1" si="28"/>
        <v>Sedan</v>
      </c>
      <c r="F211" s="4">
        <f t="shared" ca="1" si="29"/>
        <v>5</v>
      </c>
      <c r="G211" s="8">
        <f t="shared" ca="1" si="30"/>
        <v>16848146</v>
      </c>
      <c r="H211" s="8">
        <f t="shared" ca="1" si="31"/>
        <v>84240730</v>
      </c>
      <c r="I211" s="8">
        <f t="shared" ca="1" si="32"/>
        <v>66550176.700000003</v>
      </c>
      <c r="J211" s="8">
        <f t="shared" ca="1" si="33"/>
        <v>17690553.299999997</v>
      </c>
      <c r="K211" s="6">
        <f t="shared" ca="1" si="34"/>
        <v>0.20999999999999996</v>
      </c>
      <c r="L211" s="4" t="str" cm="1">
        <f t="array" aca="1" ref="L211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11" s="8">
        <f t="shared" ca="1" si="35"/>
        <v>21144</v>
      </c>
      <c r="N211" s="4" t="str" cm="1">
        <f t="array" aca="1" ref="N211" ca="1">INDEX({"New";"Repeat"}, RANDBETWEEN(1,2))</f>
        <v>New</v>
      </c>
      <c r="O211" s="4" t="str" cm="1">
        <f t="array" aca="1" ref="O211" ca="1">INDEX({"Loan";"Cash";"Lease"}, RANDBETWEEN(1,3))</f>
        <v>Loan</v>
      </c>
    </row>
    <row r="212" spans="1:15" x14ac:dyDescent="0.2">
      <c r="A212" s="4">
        <v>210</v>
      </c>
      <c r="B212" s="5">
        <f t="shared" ca="1" si="27"/>
        <v>45627</v>
      </c>
      <c r="C212" s="4" t="str" cm="1">
        <f t="array" aca="1" ref="C212" ca="1">INDEX({"Cochin";"Delhi";"Mumbai";"Pune";"Bengaluru"}, RANDBETWEEN(1,5))</f>
        <v>Pune</v>
      </c>
      <c r="D212" s="4" t="str" cm="1">
        <f t="array" aca="1" ref="D212" ca="1">INDEX({"C-Class";"E-Class";"S-Class";"GLA";"GLC";"GLE";"GLS";"EQB"}, RANDBETWEEN(1,8))</f>
        <v>S-Class</v>
      </c>
      <c r="E212" s="4" t="str">
        <f t="shared" ca="1" si="28"/>
        <v>Sedan</v>
      </c>
      <c r="F212" s="4">
        <f t="shared" ca="1" si="29"/>
        <v>3</v>
      </c>
      <c r="G212" s="8">
        <f t="shared" ca="1" si="30"/>
        <v>22150579</v>
      </c>
      <c r="H212" s="8">
        <f t="shared" ca="1" si="31"/>
        <v>66451737</v>
      </c>
      <c r="I212" s="8">
        <f t="shared" ca="1" si="32"/>
        <v>47845250.640000001</v>
      </c>
      <c r="J212" s="8">
        <f t="shared" ca="1" si="33"/>
        <v>18606486.359999999</v>
      </c>
      <c r="K212" s="6">
        <f t="shared" ca="1" si="34"/>
        <v>0.27999999999999997</v>
      </c>
      <c r="L212" s="4" t="str" cm="1">
        <f t="array" aca="1" ref="L21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12" s="8">
        <f t="shared" ca="1" si="35"/>
        <v>4471</v>
      </c>
      <c r="N212" s="4" t="str" cm="1">
        <f t="array" aca="1" ref="N212" ca="1">INDEX({"New";"Repeat"}, RANDBETWEEN(1,2))</f>
        <v>Repeat</v>
      </c>
      <c r="O212" s="4" t="str" cm="1">
        <f t="array" aca="1" ref="O212" ca="1">INDEX({"Loan";"Cash";"Lease"}, RANDBETWEEN(1,3))</f>
        <v>Cash</v>
      </c>
    </row>
    <row r="213" spans="1:15" x14ac:dyDescent="0.2">
      <c r="A213" s="4">
        <v>211</v>
      </c>
      <c r="B213" s="5">
        <f t="shared" ca="1" si="27"/>
        <v>45162</v>
      </c>
      <c r="C213" s="4" t="str" cm="1">
        <f t="array" aca="1" ref="C213" ca="1">INDEX({"Cochin";"Delhi";"Mumbai";"Pune";"Bengaluru"}, RANDBETWEEN(1,5))</f>
        <v>Bengaluru</v>
      </c>
      <c r="D213" s="4" t="str" cm="1">
        <f t="array" aca="1" ref="D213" ca="1">INDEX({"C-Class";"E-Class";"S-Class";"GLA";"GLC";"GLE";"GLS";"EQB"}, RANDBETWEEN(1,8))</f>
        <v>S-Class</v>
      </c>
      <c r="E213" s="4" t="str">
        <f t="shared" ca="1" si="28"/>
        <v>Sedan</v>
      </c>
      <c r="F213" s="4">
        <f t="shared" ca="1" si="29"/>
        <v>2</v>
      </c>
      <c r="G213" s="8">
        <f t="shared" ca="1" si="30"/>
        <v>16707424</v>
      </c>
      <c r="H213" s="8">
        <f t="shared" ca="1" si="31"/>
        <v>33414848</v>
      </c>
      <c r="I213" s="8">
        <f t="shared" ca="1" si="32"/>
        <v>23390393.600000001</v>
      </c>
      <c r="J213" s="8">
        <f t="shared" ca="1" si="33"/>
        <v>10024454.399999999</v>
      </c>
      <c r="K213" s="6">
        <f t="shared" ca="1" si="34"/>
        <v>0.29999999999999993</v>
      </c>
      <c r="L213" s="4" t="str" cm="1">
        <f t="array" aca="1" ref="L21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13" s="8">
        <f t="shared" ca="1" si="35"/>
        <v>3640</v>
      </c>
      <c r="N213" s="4" t="str" cm="1">
        <f t="array" aca="1" ref="N213" ca="1">INDEX({"New";"Repeat"}, RANDBETWEEN(1,2))</f>
        <v>Repeat</v>
      </c>
      <c r="O213" s="4" t="str" cm="1">
        <f t="array" aca="1" ref="O213" ca="1">INDEX({"Loan";"Cash";"Lease"}, RANDBETWEEN(1,3))</f>
        <v>Lease</v>
      </c>
    </row>
    <row r="214" spans="1:15" x14ac:dyDescent="0.2">
      <c r="A214" s="4">
        <v>212</v>
      </c>
      <c r="B214" s="5">
        <f t="shared" ca="1" si="27"/>
        <v>45544</v>
      </c>
      <c r="C214" s="4" t="str" cm="1">
        <f t="array" aca="1" ref="C214" ca="1">INDEX({"Cochin";"Delhi";"Mumbai";"Pune";"Bengaluru"}, RANDBETWEEN(1,5))</f>
        <v>Mumbai</v>
      </c>
      <c r="D214" s="4" t="str" cm="1">
        <f t="array" aca="1" ref="D214" ca="1">INDEX({"C-Class";"E-Class";"S-Class";"GLA";"GLC";"GLE";"GLS";"EQB"}, RANDBETWEEN(1,8))</f>
        <v>S-Class</v>
      </c>
      <c r="E214" s="4" t="str">
        <f t="shared" ca="1" si="28"/>
        <v>Sedan</v>
      </c>
      <c r="F214" s="4">
        <f t="shared" ca="1" si="29"/>
        <v>5</v>
      </c>
      <c r="G214" s="8">
        <f t="shared" ca="1" si="30"/>
        <v>24337423</v>
      </c>
      <c r="H214" s="8">
        <f t="shared" ca="1" si="31"/>
        <v>121687115</v>
      </c>
      <c r="I214" s="8">
        <f t="shared" ca="1" si="32"/>
        <v>87614722.799999997</v>
      </c>
      <c r="J214" s="8">
        <f t="shared" ca="1" si="33"/>
        <v>34072392.200000003</v>
      </c>
      <c r="K214" s="6">
        <f t="shared" ca="1" si="34"/>
        <v>0.28000000000000003</v>
      </c>
      <c r="L214" s="4" t="str" cm="1">
        <f t="array" aca="1" ref="L21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14" s="8">
        <f t="shared" ca="1" si="35"/>
        <v>3549</v>
      </c>
      <c r="N214" s="4" t="str" cm="1">
        <f t="array" aca="1" ref="N214" ca="1">INDEX({"New";"Repeat"}, RANDBETWEEN(1,2))</f>
        <v>Repeat</v>
      </c>
      <c r="O214" s="4" t="str" cm="1">
        <f t="array" aca="1" ref="O214" ca="1">INDEX({"Loan";"Cash";"Lease"}, RANDBETWEEN(1,3))</f>
        <v>Lease</v>
      </c>
    </row>
    <row r="215" spans="1:15" x14ac:dyDescent="0.2">
      <c r="A215" s="4">
        <v>213</v>
      </c>
      <c r="B215" s="5">
        <f t="shared" ca="1" si="27"/>
        <v>45514</v>
      </c>
      <c r="C215" s="4" t="str" cm="1">
        <f t="array" aca="1" ref="C215" ca="1">INDEX({"Cochin";"Delhi";"Mumbai";"Pune";"Bengaluru"}, RANDBETWEEN(1,5))</f>
        <v>Delhi</v>
      </c>
      <c r="D215" s="4" t="str" cm="1">
        <f t="array" aca="1" ref="D215" ca="1">INDEX({"C-Class";"E-Class";"S-Class";"GLA";"GLC";"GLE";"GLS";"EQB"}, RANDBETWEEN(1,8))</f>
        <v>S-Class</v>
      </c>
      <c r="E215" s="4" t="str">
        <f t="shared" ca="1" si="28"/>
        <v>Sedan</v>
      </c>
      <c r="F215" s="4">
        <f t="shared" ca="1" si="29"/>
        <v>4</v>
      </c>
      <c r="G215" s="8">
        <f t="shared" ca="1" si="30"/>
        <v>23113400</v>
      </c>
      <c r="H215" s="8">
        <f t="shared" ca="1" si="31"/>
        <v>92453600</v>
      </c>
      <c r="I215" s="8">
        <f t="shared" ca="1" si="32"/>
        <v>66566592</v>
      </c>
      <c r="J215" s="8">
        <f t="shared" ca="1" si="33"/>
        <v>25887008</v>
      </c>
      <c r="K215" s="6">
        <f t="shared" ca="1" si="34"/>
        <v>0.28000000000000003</v>
      </c>
      <c r="L215" s="4" t="str" cm="1">
        <f t="array" aca="1" ref="L21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215" s="8">
        <f t="shared" ca="1" si="35"/>
        <v>5014</v>
      </c>
      <c r="N215" s="4" t="str" cm="1">
        <f t="array" aca="1" ref="N215" ca="1">INDEX({"New";"Repeat"}, RANDBETWEEN(1,2))</f>
        <v>Repeat</v>
      </c>
      <c r="O215" s="4" t="str" cm="1">
        <f t="array" aca="1" ref="O215" ca="1">INDEX({"Loan";"Cash";"Lease"}, RANDBETWEEN(1,3))</f>
        <v>Lease</v>
      </c>
    </row>
    <row r="216" spans="1:15" x14ac:dyDescent="0.2">
      <c r="A216" s="4">
        <v>214</v>
      </c>
      <c r="B216" s="5">
        <f t="shared" ca="1" si="27"/>
        <v>45107</v>
      </c>
      <c r="C216" s="4" t="str" cm="1">
        <f t="array" aca="1" ref="C216" ca="1">INDEX({"Cochin";"Delhi";"Mumbai";"Pune";"Bengaluru"}, RANDBETWEEN(1,5))</f>
        <v>Pune</v>
      </c>
      <c r="D216" s="4" t="str" cm="1">
        <f t="array" aca="1" ref="D216" ca="1">INDEX({"C-Class";"E-Class";"S-Class";"GLA";"GLC";"GLE";"GLS";"EQB"}, RANDBETWEEN(1,8))</f>
        <v>E-Class</v>
      </c>
      <c r="E216" s="4" t="str">
        <f t="shared" ca="1" si="28"/>
        <v>Sedan</v>
      </c>
      <c r="F216" s="4">
        <f t="shared" ca="1" si="29"/>
        <v>4</v>
      </c>
      <c r="G216" s="8">
        <f t="shared" ca="1" si="30"/>
        <v>8611903</v>
      </c>
      <c r="H216" s="8">
        <f t="shared" ca="1" si="31"/>
        <v>34447612</v>
      </c>
      <c r="I216" s="8">
        <f t="shared" ca="1" si="32"/>
        <v>25835709</v>
      </c>
      <c r="J216" s="8">
        <f t="shared" ca="1" si="33"/>
        <v>8611903</v>
      </c>
      <c r="K216" s="6">
        <f t="shared" ca="1" si="34"/>
        <v>0.25</v>
      </c>
      <c r="L216" s="4" t="str" cm="1">
        <f t="array" aca="1" ref="L216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16" s="8">
        <f t="shared" ca="1" si="35"/>
        <v>3813</v>
      </c>
      <c r="N216" s="4" t="str" cm="1">
        <f t="array" aca="1" ref="N216" ca="1">INDEX({"New";"Repeat"}, RANDBETWEEN(1,2))</f>
        <v>Repeat</v>
      </c>
      <c r="O216" s="4" t="str" cm="1">
        <f t="array" aca="1" ref="O216" ca="1">INDEX({"Loan";"Cash";"Lease"}, RANDBETWEEN(1,3))</f>
        <v>Loan</v>
      </c>
    </row>
    <row r="217" spans="1:15" x14ac:dyDescent="0.2">
      <c r="A217" s="4">
        <v>215</v>
      </c>
      <c r="B217" s="5">
        <f t="shared" ca="1" si="27"/>
        <v>45147</v>
      </c>
      <c r="C217" s="4" t="str" cm="1">
        <f t="array" aca="1" ref="C217" ca="1">INDEX({"Cochin";"Delhi";"Mumbai";"Pune";"Bengaluru"}, RANDBETWEEN(1,5))</f>
        <v>Bengaluru</v>
      </c>
      <c r="D217" s="4" t="str" cm="1">
        <f t="array" aca="1" ref="D217" ca="1">INDEX({"C-Class";"E-Class";"S-Class";"GLA";"GLC";"GLE";"GLS";"EQB"}, RANDBETWEEN(1,8))</f>
        <v>C-Class</v>
      </c>
      <c r="E217" s="4" t="str">
        <f t="shared" ca="1" si="28"/>
        <v>Sedan</v>
      </c>
      <c r="F217" s="4">
        <f t="shared" ca="1" si="29"/>
        <v>4</v>
      </c>
      <c r="G217" s="8">
        <f t="shared" ca="1" si="30"/>
        <v>5947386</v>
      </c>
      <c r="H217" s="8">
        <f t="shared" ca="1" si="31"/>
        <v>23789544</v>
      </c>
      <c r="I217" s="8">
        <f t="shared" ca="1" si="32"/>
        <v>19507426.079999998</v>
      </c>
      <c r="J217" s="8">
        <f t="shared" ca="1" si="33"/>
        <v>4282117.9200000018</v>
      </c>
      <c r="K217" s="6">
        <f t="shared" ca="1" si="34"/>
        <v>0.18000000000000008</v>
      </c>
      <c r="L217" s="4" t="str" cm="1">
        <f t="array" aca="1" ref="L21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17" s="8">
        <f t="shared" ca="1" si="35"/>
        <v>12261</v>
      </c>
      <c r="N217" s="4" t="str" cm="1">
        <f t="array" aca="1" ref="N217" ca="1">INDEX({"New";"Repeat"}, RANDBETWEEN(1,2))</f>
        <v>New</v>
      </c>
      <c r="O217" s="4" t="str" cm="1">
        <f t="array" aca="1" ref="O217" ca="1">INDEX({"Loan";"Cash";"Lease"}, RANDBETWEEN(1,3))</f>
        <v>Loan</v>
      </c>
    </row>
    <row r="218" spans="1:15" x14ac:dyDescent="0.2">
      <c r="A218" s="4">
        <v>216</v>
      </c>
      <c r="B218" s="5">
        <f t="shared" ca="1" si="27"/>
        <v>45312</v>
      </c>
      <c r="C218" s="4" t="str" cm="1">
        <f t="array" aca="1" ref="C218" ca="1">INDEX({"Cochin";"Delhi";"Mumbai";"Pune";"Bengaluru"}, RANDBETWEEN(1,5))</f>
        <v>Delhi</v>
      </c>
      <c r="D218" s="4" t="str" cm="1">
        <f t="array" aca="1" ref="D218" ca="1">INDEX({"C-Class";"E-Class";"S-Class";"GLA";"GLC";"GLE";"GLS";"EQB"}, RANDBETWEEN(1,8))</f>
        <v>EQB</v>
      </c>
      <c r="E218" s="4" t="str">
        <f t="shared" ca="1" si="28"/>
        <v>EV</v>
      </c>
      <c r="F218" s="4">
        <f t="shared" ca="1" si="29"/>
        <v>5</v>
      </c>
      <c r="G218" s="8">
        <f t="shared" ca="1" si="30"/>
        <v>7866156</v>
      </c>
      <c r="H218" s="8">
        <f t="shared" ca="1" si="31"/>
        <v>39330780</v>
      </c>
      <c r="I218" s="8">
        <f t="shared" ca="1" si="32"/>
        <v>33431163</v>
      </c>
      <c r="J218" s="8">
        <f t="shared" ca="1" si="33"/>
        <v>5899617</v>
      </c>
      <c r="K218" s="6">
        <f t="shared" ca="1" si="34"/>
        <v>0.15</v>
      </c>
      <c r="L218" s="4" t="str" cm="1">
        <f t="array" aca="1" ref="L21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18" s="8">
        <f t="shared" ca="1" si="35"/>
        <v>13313</v>
      </c>
      <c r="N218" s="4" t="str" cm="1">
        <f t="array" aca="1" ref="N218" ca="1">INDEX({"New";"Repeat"}, RANDBETWEEN(1,2))</f>
        <v>New</v>
      </c>
      <c r="O218" s="4" t="str" cm="1">
        <f t="array" aca="1" ref="O218" ca="1">INDEX({"Loan";"Cash";"Lease"}, RANDBETWEEN(1,3))</f>
        <v>Cash</v>
      </c>
    </row>
    <row r="219" spans="1:15" x14ac:dyDescent="0.2">
      <c r="A219" s="4">
        <v>217</v>
      </c>
      <c r="B219" s="5">
        <f t="shared" ca="1" si="27"/>
        <v>45044</v>
      </c>
      <c r="C219" s="4" t="str" cm="1">
        <f t="array" aca="1" ref="C219" ca="1">INDEX({"Cochin";"Delhi";"Mumbai";"Pune";"Bengaluru"}, RANDBETWEEN(1,5))</f>
        <v>Delhi</v>
      </c>
      <c r="D219" s="4" t="str" cm="1">
        <f t="array" aca="1" ref="D219" ca="1">INDEX({"C-Class";"E-Class";"S-Class";"GLA";"GLC";"GLE";"GLS";"EQB"}, RANDBETWEEN(1,8))</f>
        <v>GLS</v>
      </c>
      <c r="E219" s="4" t="str">
        <f t="shared" ca="1" si="28"/>
        <v>SUV</v>
      </c>
      <c r="F219" s="4">
        <f t="shared" ca="1" si="29"/>
        <v>5</v>
      </c>
      <c r="G219" s="8">
        <f t="shared" ca="1" si="30"/>
        <v>14013782</v>
      </c>
      <c r="H219" s="8">
        <f t="shared" ca="1" si="31"/>
        <v>70068910</v>
      </c>
      <c r="I219" s="8">
        <f t="shared" ca="1" si="32"/>
        <v>49048237</v>
      </c>
      <c r="J219" s="8">
        <f t="shared" ca="1" si="33"/>
        <v>21020673</v>
      </c>
      <c r="K219" s="6">
        <f t="shared" ca="1" si="34"/>
        <v>0.3</v>
      </c>
      <c r="L219" s="4" t="str" cm="1">
        <f t="array" aca="1" ref="L21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19" s="8">
        <f t="shared" ca="1" si="35"/>
        <v>5904</v>
      </c>
      <c r="N219" s="4" t="str" cm="1">
        <f t="array" aca="1" ref="N219" ca="1">INDEX({"New";"Repeat"}, RANDBETWEEN(1,2))</f>
        <v>Repeat</v>
      </c>
      <c r="O219" s="4" t="str" cm="1">
        <f t="array" aca="1" ref="O219" ca="1">INDEX({"Loan";"Cash";"Lease"}, RANDBETWEEN(1,3))</f>
        <v>Cash</v>
      </c>
    </row>
    <row r="220" spans="1:15" x14ac:dyDescent="0.2">
      <c r="A220" s="4">
        <v>218</v>
      </c>
      <c r="B220" s="5">
        <f t="shared" ca="1" si="27"/>
        <v>45832</v>
      </c>
      <c r="C220" s="4" t="str" cm="1">
        <f t="array" aca="1" ref="C220" ca="1">INDEX({"Cochin";"Delhi";"Mumbai";"Pune";"Bengaluru"}, RANDBETWEEN(1,5))</f>
        <v>Pune</v>
      </c>
      <c r="D220" s="4" t="str" cm="1">
        <f t="array" aca="1" ref="D220" ca="1">INDEX({"C-Class";"E-Class";"S-Class";"GLA";"GLC";"GLE";"GLS";"EQB"}, RANDBETWEEN(1,8))</f>
        <v>S-Class</v>
      </c>
      <c r="E220" s="4" t="str">
        <f t="shared" ca="1" si="28"/>
        <v>Sedan</v>
      </c>
      <c r="F220" s="4">
        <f t="shared" ca="1" si="29"/>
        <v>4</v>
      </c>
      <c r="G220" s="8">
        <f t="shared" ca="1" si="30"/>
        <v>24676547</v>
      </c>
      <c r="H220" s="8">
        <f t="shared" ca="1" si="31"/>
        <v>98706188</v>
      </c>
      <c r="I220" s="8">
        <f t="shared" ca="1" si="32"/>
        <v>74029641</v>
      </c>
      <c r="J220" s="8">
        <f t="shared" ca="1" si="33"/>
        <v>24676547</v>
      </c>
      <c r="K220" s="6">
        <f t="shared" ca="1" si="34"/>
        <v>0.25</v>
      </c>
      <c r="L220" s="4" t="str" cm="1">
        <f t="array" aca="1" ref="L22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20" s="8">
        <f t="shared" ca="1" si="35"/>
        <v>21622</v>
      </c>
      <c r="N220" s="4" t="str" cm="1">
        <f t="array" aca="1" ref="N220" ca="1">INDEX({"New";"Repeat"}, RANDBETWEEN(1,2))</f>
        <v>New</v>
      </c>
      <c r="O220" s="4" t="str" cm="1">
        <f t="array" aca="1" ref="O220" ca="1">INDEX({"Loan";"Cash";"Lease"}, RANDBETWEEN(1,3))</f>
        <v>Loan</v>
      </c>
    </row>
    <row r="221" spans="1:15" x14ac:dyDescent="0.2">
      <c r="A221" s="4">
        <v>219</v>
      </c>
      <c r="B221" s="5">
        <f t="shared" ca="1" si="27"/>
        <v>45218</v>
      </c>
      <c r="C221" s="4" t="str" cm="1">
        <f t="array" aca="1" ref="C221" ca="1">INDEX({"Cochin";"Delhi";"Mumbai";"Pune";"Bengaluru"}, RANDBETWEEN(1,5))</f>
        <v>Delhi</v>
      </c>
      <c r="D221" s="4" t="str" cm="1">
        <f t="array" aca="1" ref="D221" ca="1">INDEX({"C-Class";"E-Class";"S-Class";"GLA";"GLC";"GLE";"GLS";"EQB"}, RANDBETWEEN(1,8))</f>
        <v>GLA</v>
      </c>
      <c r="E221" s="4" t="str">
        <f t="shared" ca="1" si="28"/>
        <v>SUV</v>
      </c>
      <c r="F221" s="4">
        <f t="shared" ca="1" si="29"/>
        <v>2</v>
      </c>
      <c r="G221" s="8">
        <f t="shared" ca="1" si="30"/>
        <v>4555663</v>
      </c>
      <c r="H221" s="8">
        <f t="shared" ca="1" si="31"/>
        <v>9111326</v>
      </c>
      <c r="I221" s="8">
        <f t="shared" ca="1" si="32"/>
        <v>7744627.0999999996</v>
      </c>
      <c r="J221" s="8">
        <f t="shared" ca="1" si="33"/>
        <v>1366698.9000000004</v>
      </c>
      <c r="K221" s="6">
        <f t="shared" ca="1" si="34"/>
        <v>0.15000000000000005</v>
      </c>
      <c r="L221" s="4" t="str" cm="1">
        <f t="array" aca="1" ref="L22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221" s="8">
        <f t="shared" ca="1" si="35"/>
        <v>23873</v>
      </c>
      <c r="N221" s="4" t="str" cm="1">
        <f t="array" aca="1" ref="N221" ca="1">INDEX({"New";"Repeat"}, RANDBETWEEN(1,2))</f>
        <v>New</v>
      </c>
      <c r="O221" s="4" t="str" cm="1">
        <f t="array" aca="1" ref="O221" ca="1">INDEX({"Loan";"Cash";"Lease"}, RANDBETWEEN(1,3))</f>
        <v>Loan</v>
      </c>
    </row>
    <row r="222" spans="1:15" x14ac:dyDescent="0.2">
      <c r="A222" s="4">
        <v>220</v>
      </c>
      <c r="B222" s="5">
        <f t="shared" ca="1" si="27"/>
        <v>45275</v>
      </c>
      <c r="C222" s="4" t="str" cm="1">
        <f t="array" aca="1" ref="C222" ca="1">INDEX({"Cochin";"Delhi";"Mumbai";"Pune";"Bengaluru"}, RANDBETWEEN(1,5))</f>
        <v>Bengaluru</v>
      </c>
      <c r="D222" s="4" t="str" cm="1">
        <f t="array" aca="1" ref="D222" ca="1">INDEX({"C-Class";"E-Class";"S-Class";"GLA";"GLC";"GLE";"GLS";"EQB"}, RANDBETWEEN(1,8))</f>
        <v>GLS</v>
      </c>
      <c r="E222" s="4" t="str">
        <f t="shared" ca="1" si="28"/>
        <v>SUV</v>
      </c>
      <c r="F222" s="4">
        <f t="shared" ca="1" si="29"/>
        <v>2</v>
      </c>
      <c r="G222" s="8">
        <f t="shared" ca="1" si="30"/>
        <v>13020406</v>
      </c>
      <c r="H222" s="8">
        <f t="shared" ca="1" si="31"/>
        <v>26040812</v>
      </c>
      <c r="I222" s="8">
        <f t="shared" ca="1" si="32"/>
        <v>21613873.960000001</v>
      </c>
      <c r="J222" s="8">
        <f t="shared" ca="1" si="33"/>
        <v>4426938.0399999991</v>
      </c>
      <c r="K222" s="6">
        <f t="shared" ca="1" si="34"/>
        <v>0.16999999999999996</v>
      </c>
      <c r="L222" s="4" t="str" cm="1">
        <f t="array" aca="1" ref="L22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22" s="8">
        <f t="shared" ca="1" si="35"/>
        <v>17768</v>
      </c>
      <c r="N222" s="4" t="str" cm="1">
        <f t="array" aca="1" ref="N222" ca="1">INDEX({"New";"Repeat"}, RANDBETWEEN(1,2))</f>
        <v>New</v>
      </c>
      <c r="O222" s="4" t="str" cm="1">
        <f t="array" aca="1" ref="O222" ca="1">INDEX({"Loan";"Cash";"Lease"}, RANDBETWEEN(1,3))</f>
        <v>Loan</v>
      </c>
    </row>
    <row r="223" spans="1:15" x14ac:dyDescent="0.2">
      <c r="A223" s="4">
        <v>221</v>
      </c>
      <c r="B223" s="5">
        <f t="shared" ca="1" si="27"/>
        <v>45886</v>
      </c>
      <c r="C223" s="4" t="str" cm="1">
        <f t="array" aca="1" ref="C223" ca="1">INDEX({"Cochin";"Delhi";"Mumbai";"Pune";"Bengaluru"}, RANDBETWEEN(1,5))</f>
        <v>Bengaluru</v>
      </c>
      <c r="D223" s="4" t="str" cm="1">
        <f t="array" aca="1" ref="D223" ca="1">INDEX({"C-Class";"E-Class";"S-Class";"GLA";"GLC";"GLE";"GLS";"EQB"}, RANDBETWEEN(1,8))</f>
        <v>C-Class</v>
      </c>
      <c r="E223" s="4" t="str">
        <f t="shared" ca="1" si="28"/>
        <v>Sedan</v>
      </c>
      <c r="F223" s="4">
        <f t="shared" ca="1" si="29"/>
        <v>4</v>
      </c>
      <c r="G223" s="8">
        <f t="shared" ca="1" si="30"/>
        <v>5860200</v>
      </c>
      <c r="H223" s="8">
        <f t="shared" ca="1" si="31"/>
        <v>23440800</v>
      </c>
      <c r="I223" s="8">
        <f t="shared" ca="1" si="32"/>
        <v>19221456</v>
      </c>
      <c r="J223" s="8">
        <f t="shared" ca="1" si="33"/>
        <v>4219344</v>
      </c>
      <c r="K223" s="6">
        <f t="shared" ca="1" si="34"/>
        <v>0.18</v>
      </c>
      <c r="L223" s="4" t="str" cm="1">
        <f t="array" aca="1" ref="L22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23" s="8">
        <f t="shared" ca="1" si="35"/>
        <v>4543</v>
      </c>
      <c r="N223" s="4" t="str" cm="1">
        <f t="array" aca="1" ref="N223" ca="1">INDEX({"New";"Repeat"}, RANDBETWEEN(1,2))</f>
        <v>Repeat</v>
      </c>
      <c r="O223" s="4" t="str" cm="1">
        <f t="array" aca="1" ref="O223" ca="1">INDEX({"Loan";"Cash";"Lease"}, RANDBETWEEN(1,3))</f>
        <v>Lease</v>
      </c>
    </row>
    <row r="224" spans="1:15" x14ac:dyDescent="0.2">
      <c r="A224" s="4">
        <v>222</v>
      </c>
      <c r="B224" s="5">
        <f t="shared" ca="1" si="27"/>
        <v>45677</v>
      </c>
      <c r="C224" s="4" t="str" cm="1">
        <f t="array" aca="1" ref="C224" ca="1">INDEX({"Cochin";"Delhi";"Mumbai";"Pune";"Bengaluru"}, RANDBETWEEN(1,5))</f>
        <v>Delhi</v>
      </c>
      <c r="D224" s="4" t="str" cm="1">
        <f t="array" aca="1" ref="D224" ca="1">INDEX({"C-Class";"E-Class";"S-Class";"GLA";"GLC";"GLE";"GLS";"EQB"}, RANDBETWEEN(1,8))</f>
        <v>EQB</v>
      </c>
      <c r="E224" s="4" t="str">
        <f t="shared" ca="1" si="28"/>
        <v>EV</v>
      </c>
      <c r="F224" s="4">
        <f t="shared" ca="1" si="29"/>
        <v>2</v>
      </c>
      <c r="G224" s="8">
        <f t="shared" ca="1" si="30"/>
        <v>7198929</v>
      </c>
      <c r="H224" s="8">
        <f t="shared" ca="1" si="31"/>
        <v>14397858</v>
      </c>
      <c r="I224" s="8">
        <f t="shared" ca="1" si="32"/>
        <v>11662264.98</v>
      </c>
      <c r="J224" s="8">
        <f t="shared" ca="1" si="33"/>
        <v>2735593.0199999996</v>
      </c>
      <c r="K224" s="6">
        <f t="shared" ca="1" si="34"/>
        <v>0.18999999999999997</v>
      </c>
      <c r="L224" s="4" t="str" cm="1">
        <f t="array" aca="1" ref="L224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24" s="8">
        <f t="shared" ca="1" si="35"/>
        <v>3522</v>
      </c>
      <c r="N224" s="4" t="str" cm="1">
        <f t="array" aca="1" ref="N224" ca="1">INDEX({"New";"Repeat"}, RANDBETWEEN(1,2))</f>
        <v>Repeat</v>
      </c>
      <c r="O224" s="4" t="str" cm="1">
        <f t="array" aca="1" ref="O224" ca="1">INDEX({"Loan";"Cash";"Lease"}, RANDBETWEEN(1,3))</f>
        <v>Cash</v>
      </c>
    </row>
    <row r="225" spans="1:15" x14ac:dyDescent="0.2">
      <c r="A225" s="4">
        <v>223</v>
      </c>
      <c r="B225" s="5">
        <f t="shared" ca="1" si="27"/>
        <v>45201</v>
      </c>
      <c r="C225" s="4" t="str" cm="1">
        <f t="array" aca="1" ref="C225" ca="1">INDEX({"Cochin";"Delhi";"Mumbai";"Pune";"Bengaluru"}, RANDBETWEEN(1,5))</f>
        <v>Mumbai</v>
      </c>
      <c r="D225" s="4" t="str" cm="1">
        <f t="array" aca="1" ref="D225" ca="1">INDEX({"C-Class";"E-Class";"S-Class";"GLA";"GLC";"GLE";"GLS";"EQB"}, RANDBETWEEN(1,8))</f>
        <v>GLC</v>
      </c>
      <c r="E225" s="4" t="str">
        <f t="shared" ca="1" si="28"/>
        <v>SUV</v>
      </c>
      <c r="F225" s="4">
        <f t="shared" ca="1" si="29"/>
        <v>1</v>
      </c>
      <c r="G225" s="8">
        <f t="shared" ca="1" si="30"/>
        <v>6932352</v>
      </c>
      <c r="H225" s="8">
        <f t="shared" ca="1" si="31"/>
        <v>6932352</v>
      </c>
      <c r="I225" s="8">
        <f t="shared" ca="1" si="32"/>
        <v>5615205.1200000001</v>
      </c>
      <c r="J225" s="8">
        <f t="shared" ca="1" si="33"/>
        <v>1317146.8799999999</v>
      </c>
      <c r="K225" s="6">
        <f t="shared" ca="1" si="34"/>
        <v>0.18999999999999997</v>
      </c>
      <c r="L225" s="4" t="str" cm="1">
        <f t="array" aca="1" ref="L225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25" s="8">
        <f t="shared" ca="1" si="35"/>
        <v>5229</v>
      </c>
      <c r="N225" s="4" t="str" cm="1">
        <f t="array" aca="1" ref="N225" ca="1">INDEX({"New";"Repeat"}, RANDBETWEEN(1,2))</f>
        <v>Repeat</v>
      </c>
      <c r="O225" s="4" t="str" cm="1">
        <f t="array" aca="1" ref="O225" ca="1">INDEX({"Loan";"Cash";"Lease"}, RANDBETWEEN(1,3))</f>
        <v>Lease</v>
      </c>
    </row>
    <row r="226" spans="1:15" x14ac:dyDescent="0.2">
      <c r="A226" s="4">
        <v>224</v>
      </c>
      <c r="B226" s="5">
        <f t="shared" ca="1" si="27"/>
        <v>45876</v>
      </c>
      <c r="C226" s="4" t="str" cm="1">
        <f t="array" aca="1" ref="C226" ca="1">INDEX({"Cochin";"Delhi";"Mumbai";"Pune";"Bengaluru"}, RANDBETWEEN(1,5))</f>
        <v>Cochin</v>
      </c>
      <c r="D226" s="4" t="str" cm="1">
        <f t="array" aca="1" ref="D226" ca="1">INDEX({"C-Class";"E-Class";"S-Class";"GLA";"GLC";"GLE";"GLS";"EQB"}, RANDBETWEEN(1,8))</f>
        <v>GLE</v>
      </c>
      <c r="E226" s="4" t="str">
        <f t="shared" ca="1" si="28"/>
        <v>SUV</v>
      </c>
      <c r="F226" s="4">
        <f t="shared" ca="1" si="29"/>
        <v>3</v>
      </c>
      <c r="G226" s="8">
        <f t="shared" ca="1" si="30"/>
        <v>12745385</v>
      </c>
      <c r="H226" s="8">
        <f t="shared" ca="1" si="31"/>
        <v>38236155</v>
      </c>
      <c r="I226" s="8">
        <f t="shared" ca="1" si="32"/>
        <v>30588924</v>
      </c>
      <c r="J226" s="8">
        <f t="shared" ca="1" si="33"/>
        <v>7647231</v>
      </c>
      <c r="K226" s="6">
        <f t="shared" ca="1" si="34"/>
        <v>0.2</v>
      </c>
      <c r="L226" s="4" t="str" cm="1">
        <f t="array" aca="1" ref="L22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26" s="8">
        <f t="shared" ca="1" si="35"/>
        <v>17716</v>
      </c>
      <c r="N226" s="4" t="str" cm="1">
        <f t="array" aca="1" ref="N226" ca="1">INDEX({"New";"Repeat"}, RANDBETWEEN(1,2))</f>
        <v>New</v>
      </c>
      <c r="O226" s="4" t="str" cm="1">
        <f t="array" aca="1" ref="O226" ca="1">INDEX({"Loan";"Cash";"Lease"}, RANDBETWEEN(1,3))</f>
        <v>Cash</v>
      </c>
    </row>
    <row r="227" spans="1:15" x14ac:dyDescent="0.2">
      <c r="A227" s="4">
        <v>225</v>
      </c>
      <c r="B227" s="5">
        <f t="shared" ca="1" si="27"/>
        <v>45393</v>
      </c>
      <c r="C227" s="4" t="str" cm="1">
        <f t="array" aca="1" ref="C227" ca="1">INDEX({"Cochin";"Delhi";"Mumbai";"Pune";"Bengaluru"}, RANDBETWEEN(1,5))</f>
        <v>Cochin</v>
      </c>
      <c r="D227" s="4" t="str" cm="1">
        <f t="array" aca="1" ref="D227" ca="1">INDEX({"C-Class";"E-Class";"S-Class";"GLA";"GLC";"GLE";"GLS";"EQB"}, RANDBETWEEN(1,8))</f>
        <v>GLA</v>
      </c>
      <c r="E227" s="4" t="str">
        <f t="shared" ca="1" si="28"/>
        <v>SUV</v>
      </c>
      <c r="F227" s="4">
        <f t="shared" ca="1" si="29"/>
        <v>3</v>
      </c>
      <c r="G227" s="8">
        <f t="shared" ca="1" si="30"/>
        <v>4793785</v>
      </c>
      <c r="H227" s="8">
        <f t="shared" ca="1" si="31"/>
        <v>14381355</v>
      </c>
      <c r="I227" s="8">
        <f t="shared" ca="1" si="32"/>
        <v>10929829.800000001</v>
      </c>
      <c r="J227" s="8">
        <f t="shared" ca="1" si="33"/>
        <v>3451525.1999999993</v>
      </c>
      <c r="K227" s="6">
        <f t="shared" ca="1" si="34"/>
        <v>0.23999999999999994</v>
      </c>
      <c r="L227" s="4" t="str" cm="1">
        <f t="array" aca="1" ref="L22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27" s="8">
        <f t="shared" ca="1" si="35"/>
        <v>3739</v>
      </c>
      <c r="N227" s="4" t="str" cm="1">
        <f t="array" aca="1" ref="N227" ca="1">INDEX({"New";"Repeat"}, RANDBETWEEN(1,2))</f>
        <v>Repeat</v>
      </c>
      <c r="O227" s="4" t="str" cm="1">
        <f t="array" aca="1" ref="O227" ca="1">INDEX({"Loan";"Cash";"Lease"}, RANDBETWEEN(1,3))</f>
        <v>Loan</v>
      </c>
    </row>
    <row r="228" spans="1:15" x14ac:dyDescent="0.2">
      <c r="A228" s="4">
        <v>226</v>
      </c>
      <c r="B228" s="5">
        <f t="shared" ca="1" si="27"/>
        <v>45801</v>
      </c>
      <c r="C228" s="4" t="str" cm="1">
        <f t="array" aca="1" ref="C228" ca="1">INDEX({"Cochin";"Delhi";"Mumbai";"Pune";"Bengaluru"}, RANDBETWEEN(1,5))</f>
        <v>Mumbai</v>
      </c>
      <c r="D228" s="4" t="str" cm="1">
        <f t="array" aca="1" ref="D228" ca="1">INDEX({"C-Class";"E-Class";"S-Class";"GLA";"GLC";"GLE";"GLS";"EQB"}, RANDBETWEEN(1,8))</f>
        <v>E-Class</v>
      </c>
      <c r="E228" s="4" t="str">
        <f t="shared" ca="1" si="28"/>
        <v>Sedan</v>
      </c>
      <c r="F228" s="4">
        <f t="shared" ca="1" si="29"/>
        <v>2</v>
      </c>
      <c r="G228" s="8">
        <f t="shared" ca="1" si="30"/>
        <v>7734403</v>
      </c>
      <c r="H228" s="8">
        <f t="shared" ca="1" si="31"/>
        <v>15468806</v>
      </c>
      <c r="I228" s="8">
        <f t="shared" ca="1" si="32"/>
        <v>11292228.380000001</v>
      </c>
      <c r="J228" s="8">
        <f t="shared" ca="1" si="33"/>
        <v>4176577.6199999992</v>
      </c>
      <c r="K228" s="6">
        <f t="shared" ca="1" si="34"/>
        <v>0.26999999999999996</v>
      </c>
      <c r="L228" s="4" t="str" cm="1">
        <f t="array" aca="1" ref="L22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28" s="8">
        <f t="shared" ca="1" si="35"/>
        <v>20449</v>
      </c>
      <c r="N228" s="4" t="str" cm="1">
        <f t="array" aca="1" ref="N228" ca="1">INDEX({"New";"Repeat"}, RANDBETWEEN(1,2))</f>
        <v>New</v>
      </c>
      <c r="O228" s="4" t="str" cm="1">
        <f t="array" aca="1" ref="O228" ca="1">INDEX({"Loan";"Cash";"Lease"}, RANDBETWEEN(1,3))</f>
        <v>Cash</v>
      </c>
    </row>
    <row r="229" spans="1:15" x14ac:dyDescent="0.2">
      <c r="A229" s="4">
        <v>227</v>
      </c>
      <c r="B229" s="5">
        <f t="shared" ca="1" si="27"/>
        <v>45402</v>
      </c>
      <c r="C229" s="4" t="str" cm="1">
        <f t="array" aca="1" ref="C229" ca="1">INDEX({"Cochin";"Delhi";"Mumbai";"Pune";"Bengaluru"}, RANDBETWEEN(1,5))</f>
        <v>Bengaluru</v>
      </c>
      <c r="D229" s="4" t="str" cm="1">
        <f t="array" aca="1" ref="D229" ca="1">INDEX({"C-Class";"E-Class";"S-Class";"GLA";"GLC";"GLE";"GLS";"EQB"}, RANDBETWEEN(1,8))</f>
        <v>GLE</v>
      </c>
      <c r="E229" s="4" t="str">
        <f t="shared" ca="1" si="28"/>
        <v>SUV</v>
      </c>
      <c r="F229" s="4">
        <f t="shared" ca="1" si="29"/>
        <v>2</v>
      </c>
      <c r="G229" s="8">
        <f t="shared" ca="1" si="30"/>
        <v>10607644</v>
      </c>
      <c r="H229" s="8">
        <f t="shared" ca="1" si="31"/>
        <v>21215288</v>
      </c>
      <c r="I229" s="8">
        <f t="shared" ca="1" si="32"/>
        <v>16123618.880000001</v>
      </c>
      <c r="J229" s="8">
        <f t="shared" ca="1" si="33"/>
        <v>5091669.1199999992</v>
      </c>
      <c r="K229" s="6">
        <f t="shared" ca="1" si="34"/>
        <v>0.23999999999999996</v>
      </c>
      <c r="L229" s="4" t="str" cm="1">
        <f t="array" aca="1" ref="L229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29" s="8">
        <f t="shared" ca="1" si="35"/>
        <v>23503</v>
      </c>
      <c r="N229" s="4" t="str" cm="1">
        <f t="array" aca="1" ref="N229" ca="1">INDEX({"New";"Repeat"}, RANDBETWEEN(1,2))</f>
        <v>New</v>
      </c>
      <c r="O229" s="4" t="str" cm="1">
        <f t="array" aca="1" ref="O229" ca="1">INDEX({"Loan";"Cash";"Lease"}, RANDBETWEEN(1,3))</f>
        <v>Lease</v>
      </c>
    </row>
    <row r="230" spans="1:15" x14ac:dyDescent="0.2">
      <c r="A230" s="4">
        <v>228</v>
      </c>
      <c r="B230" s="5">
        <f t="shared" ca="1" si="27"/>
        <v>45103</v>
      </c>
      <c r="C230" s="4" t="str" cm="1">
        <f t="array" aca="1" ref="C230" ca="1">INDEX({"Cochin";"Delhi";"Mumbai";"Pune";"Bengaluru"}, RANDBETWEEN(1,5))</f>
        <v>Delhi</v>
      </c>
      <c r="D230" s="4" t="str" cm="1">
        <f t="array" aca="1" ref="D230" ca="1">INDEX({"C-Class";"E-Class";"S-Class";"GLA";"GLC";"GLE";"GLS";"EQB"}, RANDBETWEEN(1,8))</f>
        <v>GLE</v>
      </c>
      <c r="E230" s="4" t="str">
        <f t="shared" ca="1" si="28"/>
        <v>SUV</v>
      </c>
      <c r="F230" s="4">
        <f t="shared" ca="1" si="29"/>
        <v>1</v>
      </c>
      <c r="G230" s="8">
        <f t="shared" ca="1" si="30"/>
        <v>11634442</v>
      </c>
      <c r="H230" s="8">
        <f t="shared" ca="1" si="31"/>
        <v>11634442</v>
      </c>
      <c r="I230" s="8">
        <f t="shared" ca="1" si="32"/>
        <v>8493142.6600000001</v>
      </c>
      <c r="J230" s="8">
        <f t="shared" ca="1" si="33"/>
        <v>3141299.34</v>
      </c>
      <c r="K230" s="6">
        <f t="shared" ca="1" si="34"/>
        <v>0.26999999999999996</v>
      </c>
      <c r="L230" s="4" t="str" cm="1">
        <f t="array" aca="1" ref="L23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30" s="8">
        <f t="shared" ca="1" si="35"/>
        <v>3126</v>
      </c>
      <c r="N230" s="4" t="str" cm="1">
        <f t="array" aca="1" ref="N230" ca="1">INDEX({"New";"Repeat"}, RANDBETWEEN(1,2))</f>
        <v>Repeat</v>
      </c>
      <c r="O230" s="4" t="str" cm="1">
        <f t="array" aca="1" ref="O230" ca="1">INDEX({"Loan";"Cash";"Lease"}, RANDBETWEEN(1,3))</f>
        <v>Cash</v>
      </c>
    </row>
    <row r="231" spans="1:15" x14ac:dyDescent="0.2">
      <c r="A231" s="4">
        <v>229</v>
      </c>
      <c r="B231" s="5">
        <f t="shared" ca="1" si="27"/>
        <v>45024</v>
      </c>
      <c r="C231" s="4" t="str" cm="1">
        <f t="array" aca="1" ref="C231" ca="1">INDEX({"Cochin";"Delhi";"Mumbai";"Pune";"Bengaluru"}, RANDBETWEEN(1,5))</f>
        <v>Bengaluru</v>
      </c>
      <c r="D231" s="4" t="str" cm="1">
        <f t="array" aca="1" ref="D231" ca="1">INDEX({"C-Class";"E-Class";"S-Class";"GLA";"GLC";"GLE";"GLS";"EQB"}, RANDBETWEEN(1,8))</f>
        <v>GLE</v>
      </c>
      <c r="E231" s="4" t="str">
        <f t="shared" ca="1" si="28"/>
        <v>SUV</v>
      </c>
      <c r="F231" s="4">
        <f t="shared" ca="1" si="29"/>
        <v>2</v>
      </c>
      <c r="G231" s="8">
        <f t="shared" ca="1" si="30"/>
        <v>11642454</v>
      </c>
      <c r="H231" s="8">
        <f t="shared" ca="1" si="31"/>
        <v>23284908</v>
      </c>
      <c r="I231" s="8">
        <f t="shared" ca="1" si="32"/>
        <v>16299435.6</v>
      </c>
      <c r="J231" s="8">
        <f t="shared" ca="1" si="33"/>
        <v>6985472.4000000004</v>
      </c>
      <c r="K231" s="6">
        <f t="shared" ca="1" si="34"/>
        <v>0.3</v>
      </c>
      <c r="L231" s="4" t="str" cm="1">
        <f t="array" aca="1" ref="L231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31" s="8">
        <f t="shared" ca="1" si="35"/>
        <v>13122</v>
      </c>
      <c r="N231" s="4" t="str" cm="1">
        <f t="array" aca="1" ref="N231" ca="1">INDEX({"New";"Repeat"}, RANDBETWEEN(1,2))</f>
        <v>New</v>
      </c>
      <c r="O231" s="4" t="str" cm="1">
        <f t="array" aca="1" ref="O231" ca="1">INDEX({"Loan";"Cash";"Lease"}, RANDBETWEEN(1,3))</f>
        <v>Cash</v>
      </c>
    </row>
    <row r="232" spans="1:15" x14ac:dyDescent="0.2">
      <c r="A232" s="4">
        <v>230</v>
      </c>
      <c r="B232" s="5">
        <f t="shared" ca="1" si="27"/>
        <v>45749</v>
      </c>
      <c r="C232" s="4" t="str" cm="1">
        <f t="array" aca="1" ref="C232" ca="1">INDEX({"Cochin";"Delhi";"Mumbai";"Pune";"Bengaluru"}, RANDBETWEEN(1,5))</f>
        <v>Mumbai</v>
      </c>
      <c r="D232" s="4" t="str" cm="1">
        <f t="array" aca="1" ref="D232" ca="1">INDEX({"C-Class";"E-Class";"S-Class";"GLA";"GLC";"GLE";"GLS";"EQB"}, RANDBETWEEN(1,8))</f>
        <v>E-Class</v>
      </c>
      <c r="E232" s="4" t="str">
        <f t="shared" ca="1" si="28"/>
        <v>Sedan</v>
      </c>
      <c r="F232" s="4">
        <f t="shared" ca="1" si="29"/>
        <v>1</v>
      </c>
      <c r="G232" s="8">
        <f t="shared" ca="1" si="30"/>
        <v>8165144</v>
      </c>
      <c r="H232" s="8">
        <f t="shared" ca="1" si="31"/>
        <v>8165144</v>
      </c>
      <c r="I232" s="8">
        <f t="shared" ca="1" si="32"/>
        <v>6532115.2000000002</v>
      </c>
      <c r="J232" s="8">
        <f t="shared" ca="1" si="33"/>
        <v>1633028.7999999998</v>
      </c>
      <c r="K232" s="6">
        <f t="shared" ca="1" si="34"/>
        <v>0.19999999999999998</v>
      </c>
      <c r="L232" s="4" t="str" cm="1">
        <f t="array" aca="1" ref="L23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32" s="8">
        <f t="shared" ca="1" si="35"/>
        <v>4948</v>
      </c>
      <c r="N232" s="4" t="str" cm="1">
        <f t="array" aca="1" ref="N232" ca="1">INDEX({"New";"Repeat"}, RANDBETWEEN(1,2))</f>
        <v>Repeat</v>
      </c>
      <c r="O232" s="4" t="str" cm="1">
        <f t="array" aca="1" ref="O232" ca="1">INDEX({"Loan";"Cash";"Lease"}, RANDBETWEEN(1,3))</f>
        <v>Cash</v>
      </c>
    </row>
    <row r="233" spans="1:15" x14ac:dyDescent="0.2">
      <c r="A233" s="4">
        <v>231</v>
      </c>
      <c r="B233" s="5">
        <f t="shared" ca="1" si="27"/>
        <v>45059</v>
      </c>
      <c r="C233" s="4" t="str" cm="1">
        <f t="array" aca="1" ref="C233" ca="1">INDEX({"Cochin";"Delhi";"Mumbai";"Pune";"Bengaluru"}, RANDBETWEEN(1,5))</f>
        <v>Delhi</v>
      </c>
      <c r="D233" s="4" t="str" cm="1">
        <f t="array" aca="1" ref="D233" ca="1">INDEX({"C-Class";"E-Class";"S-Class";"GLA";"GLC";"GLE";"GLS";"EQB"}, RANDBETWEEN(1,8))</f>
        <v>C-Class</v>
      </c>
      <c r="E233" s="4" t="str">
        <f t="shared" ca="1" si="28"/>
        <v>Sedan</v>
      </c>
      <c r="F233" s="4">
        <f t="shared" ca="1" si="29"/>
        <v>5</v>
      </c>
      <c r="G233" s="8">
        <f t="shared" ca="1" si="30"/>
        <v>6101800</v>
      </c>
      <c r="H233" s="8">
        <f t="shared" ca="1" si="31"/>
        <v>30509000</v>
      </c>
      <c r="I233" s="8">
        <f t="shared" ca="1" si="32"/>
        <v>23186840</v>
      </c>
      <c r="J233" s="8">
        <f t="shared" ca="1" si="33"/>
        <v>7322160</v>
      </c>
      <c r="K233" s="6">
        <f t="shared" ca="1" si="34"/>
        <v>0.24</v>
      </c>
      <c r="L233" s="4" t="str" cm="1">
        <f t="array" aca="1" ref="L23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33" s="8">
        <f t="shared" ca="1" si="35"/>
        <v>7261</v>
      </c>
      <c r="N233" s="4" t="str" cm="1">
        <f t="array" aca="1" ref="N233" ca="1">INDEX({"New";"Repeat"}, RANDBETWEEN(1,2))</f>
        <v>Repeat</v>
      </c>
      <c r="O233" s="4" t="str" cm="1">
        <f t="array" aca="1" ref="O233" ca="1">INDEX({"Loan";"Cash";"Lease"}, RANDBETWEEN(1,3))</f>
        <v>Cash</v>
      </c>
    </row>
    <row r="234" spans="1:15" x14ac:dyDescent="0.2">
      <c r="A234" s="4">
        <v>232</v>
      </c>
      <c r="B234" s="5">
        <f t="shared" ca="1" si="27"/>
        <v>45745</v>
      </c>
      <c r="C234" s="4" t="str" cm="1">
        <f t="array" aca="1" ref="C234" ca="1">INDEX({"Cochin";"Delhi";"Mumbai";"Pune";"Bengaluru"}, RANDBETWEEN(1,5))</f>
        <v>Delhi</v>
      </c>
      <c r="D234" s="4" t="str" cm="1">
        <f t="array" aca="1" ref="D234" ca="1">INDEX({"C-Class";"E-Class";"S-Class";"GLA";"GLC";"GLE";"GLS";"EQB"}, RANDBETWEEN(1,8))</f>
        <v>E-Class</v>
      </c>
      <c r="E234" s="4" t="str">
        <f t="shared" ca="1" si="28"/>
        <v>Sedan</v>
      </c>
      <c r="F234" s="4">
        <f t="shared" ca="1" si="29"/>
        <v>1</v>
      </c>
      <c r="G234" s="8">
        <f t="shared" ca="1" si="30"/>
        <v>9093499</v>
      </c>
      <c r="H234" s="8">
        <f t="shared" ca="1" si="31"/>
        <v>9093499</v>
      </c>
      <c r="I234" s="8">
        <f t="shared" ca="1" si="32"/>
        <v>7729474.1500000004</v>
      </c>
      <c r="J234" s="8">
        <f t="shared" ca="1" si="33"/>
        <v>1364024.8499999996</v>
      </c>
      <c r="K234" s="6">
        <f t="shared" ca="1" si="34"/>
        <v>0.14999999999999997</v>
      </c>
      <c r="L234" s="4" t="str" cm="1">
        <f t="array" aca="1" ref="L23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34" s="8">
        <f t="shared" ca="1" si="35"/>
        <v>6886</v>
      </c>
      <c r="N234" s="4" t="str" cm="1">
        <f t="array" aca="1" ref="N234" ca="1">INDEX({"New";"Repeat"}, RANDBETWEEN(1,2))</f>
        <v>Repeat</v>
      </c>
      <c r="O234" s="4" t="str" cm="1">
        <f t="array" aca="1" ref="O234" ca="1">INDEX({"Loan";"Cash";"Lease"}, RANDBETWEEN(1,3))</f>
        <v>Loan</v>
      </c>
    </row>
    <row r="235" spans="1:15" x14ac:dyDescent="0.2">
      <c r="A235" s="4">
        <v>233</v>
      </c>
      <c r="B235" s="5">
        <f t="shared" ca="1" si="27"/>
        <v>45579</v>
      </c>
      <c r="C235" s="4" t="str" cm="1">
        <f t="array" aca="1" ref="C235" ca="1">INDEX({"Cochin";"Delhi";"Mumbai";"Pune";"Bengaluru"}, RANDBETWEEN(1,5))</f>
        <v>Bengaluru</v>
      </c>
      <c r="D235" s="4" t="str" cm="1">
        <f t="array" aca="1" ref="D235" ca="1">INDEX({"C-Class";"E-Class";"S-Class";"GLA";"GLC";"GLE";"GLS";"EQB"}, RANDBETWEEN(1,8))</f>
        <v>S-Class</v>
      </c>
      <c r="E235" s="4" t="str">
        <f t="shared" ca="1" si="28"/>
        <v>Sedan</v>
      </c>
      <c r="F235" s="4">
        <f t="shared" ca="1" si="29"/>
        <v>5</v>
      </c>
      <c r="G235" s="8">
        <f t="shared" ca="1" si="30"/>
        <v>21398989</v>
      </c>
      <c r="H235" s="8">
        <f t="shared" ca="1" si="31"/>
        <v>106994945</v>
      </c>
      <c r="I235" s="8">
        <f t="shared" ca="1" si="32"/>
        <v>75966410.950000003</v>
      </c>
      <c r="J235" s="8">
        <f t="shared" ca="1" si="33"/>
        <v>31028534.049999997</v>
      </c>
      <c r="K235" s="6">
        <f t="shared" ca="1" si="34"/>
        <v>0.28999999999999998</v>
      </c>
      <c r="L235" s="4" t="str" cm="1">
        <f t="array" aca="1" ref="L23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35" s="8">
        <f t="shared" ca="1" si="35"/>
        <v>4295</v>
      </c>
      <c r="N235" s="4" t="str" cm="1">
        <f t="array" aca="1" ref="N235" ca="1">INDEX({"New";"Repeat"}, RANDBETWEEN(1,2))</f>
        <v>Repeat</v>
      </c>
      <c r="O235" s="4" t="str" cm="1">
        <f t="array" aca="1" ref="O235" ca="1">INDEX({"Loan";"Cash";"Lease"}, RANDBETWEEN(1,3))</f>
        <v>Cash</v>
      </c>
    </row>
    <row r="236" spans="1:15" x14ac:dyDescent="0.2">
      <c r="A236" s="4">
        <v>234</v>
      </c>
      <c r="B236" s="5">
        <f t="shared" ca="1" si="27"/>
        <v>45444</v>
      </c>
      <c r="C236" s="4" t="str" cm="1">
        <f t="array" aca="1" ref="C236" ca="1">INDEX({"Cochin";"Delhi";"Mumbai";"Pune";"Bengaluru"}, RANDBETWEEN(1,5))</f>
        <v>Pune</v>
      </c>
      <c r="D236" s="4" t="str" cm="1">
        <f t="array" aca="1" ref="D236" ca="1">INDEX({"C-Class";"E-Class";"S-Class";"GLA";"GLC";"GLE";"GLS";"EQB"}, RANDBETWEEN(1,8))</f>
        <v>GLC</v>
      </c>
      <c r="E236" s="4" t="str">
        <f t="shared" ca="1" si="28"/>
        <v>SUV</v>
      </c>
      <c r="F236" s="4">
        <f t="shared" ca="1" si="29"/>
        <v>4</v>
      </c>
      <c r="G236" s="8">
        <f t="shared" ca="1" si="30"/>
        <v>7199649</v>
      </c>
      <c r="H236" s="8">
        <f t="shared" ca="1" si="31"/>
        <v>28798596</v>
      </c>
      <c r="I236" s="8">
        <f t="shared" ca="1" si="32"/>
        <v>24190820.640000001</v>
      </c>
      <c r="J236" s="8">
        <f t="shared" ca="1" si="33"/>
        <v>4607775.3599999994</v>
      </c>
      <c r="K236" s="6">
        <f t="shared" ca="1" si="34"/>
        <v>0.15999999999999998</v>
      </c>
      <c r="L236" s="4" t="str" cm="1">
        <f t="array" aca="1" ref="L23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36" s="8">
        <f t="shared" ca="1" si="35"/>
        <v>7591</v>
      </c>
      <c r="N236" s="4" t="str" cm="1">
        <f t="array" aca="1" ref="N236" ca="1">INDEX({"New";"Repeat"}, RANDBETWEEN(1,2))</f>
        <v>Repeat</v>
      </c>
      <c r="O236" s="4" t="str" cm="1">
        <f t="array" aca="1" ref="O236" ca="1">INDEX({"Loan";"Cash";"Lease"}, RANDBETWEEN(1,3))</f>
        <v>Lease</v>
      </c>
    </row>
    <row r="237" spans="1:15" x14ac:dyDescent="0.2">
      <c r="A237" s="4">
        <v>235</v>
      </c>
      <c r="B237" s="5">
        <f t="shared" ca="1" si="27"/>
        <v>45053</v>
      </c>
      <c r="C237" s="4" t="str" cm="1">
        <f t="array" aca="1" ref="C237" ca="1">INDEX({"Cochin";"Delhi";"Mumbai";"Pune";"Bengaluru"}, RANDBETWEEN(1,5))</f>
        <v>Delhi</v>
      </c>
      <c r="D237" s="4" t="str" cm="1">
        <f t="array" aca="1" ref="D237" ca="1">INDEX({"C-Class";"E-Class";"S-Class";"GLA";"GLC";"GLE";"GLS";"EQB"}, RANDBETWEEN(1,8))</f>
        <v>GLS</v>
      </c>
      <c r="E237" s="4" t="str">
        <f t="shared" ca="1" si="28"/>
        <v>SUV</v>
      </c>
      <c r="F237" s="4">
        <f t="shared" ca="1" si="29"/>
        <v>2</v>
      </c>
      <c r="G237" s="8">
        <f t="shared" ca="1" si="30"/>
        <v>15010958</v>
      </c>
      <c r="H237" s="8">
        <f t="shared" ca="1" si="31"/>
        <v>30021916</v>
      </c>
      <c r="I237" s="8">
        <f t="shared" ca="1" si="32"/>
        <v>25218409.440000001</v>
      </c>
      <c r="J237" s="8">
        <f t="shared" ca="1" si="33"/>
        <v>4803506.5599999987</v>
      </c>
      <c r="K237" s="6">
        <f t="shared" ca="1" si="34"/>
        <v>0.15999999999999995</v>
      </c>
      <c r="L237" s="4" t="str" cm="1">
        <f t="array" aca="1" ref="L23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37" s="8">
        <f t="shared" ca="1" si="35"/>
        <v>6613</v>
      </c>
      <c r="N237" s="4" t="str" cm="1">
        <f t="array" aca="1" ref="N237" ca="1">INDEX({"New";"Repeat"}, RANDBETWEEN(1,2))</f>
        <v>Repeat</v>
      </c>
      <c r="O237" s="4" t="str" cm="1">
        <f t="array" aca="1" ref="O237" ca="1">INDEX({"Loan";"Cash";"Lease"}, RANDBETWEEN(1,3))</f>
        <v>Loan</v>
      </c>
    </row>
    <row r="238" spans="1:15" x14ac:dyDescent="0.2">
      <c r="A238" s="4">
        <v>236</v>
      </c>
      <c r="B238" s="5">
        <f t="shared" ca="1" si="27"/>
        <v>45371</v>
      </c>
      <c r="C238" s="4" t="str" cm="1">
        <f t="array" aca="1" ref="C238" ca="1">INDEX({"Cochin";"Delhi";"Mumbai";"Pune";"Bengaluru"}, RANDBETWEEN(1,5))</f>
        <v>Bengaluru</v>
      </c>
      <c r="D238" s="4" t="str" cm="1">
        <f t="array" aca="1" ref="D238" ca="1">INDEX({"C-Class";"E-Class";"S-Class";"GLA";"GLC";"GLE";"GLS";"EQB"}, RANDBETWEEN(1,8))</f>
        <v>GLS</v>
      </c>
      <c r="E238" s="4" t="str">
        <f t="shared" ca="1" si="28"/>
        <v>SUV</v>
      </c>
      <c r="F238" s="4">
        <f t="shared" ca="1" si="29"/>
        <v>5</v>
      </c>
      <c r="G238" s="8">
        <f t="shared" ca="1" si="30"/>
        <v>16886235</v>
      </c>
      <c r="H238" s="8">
        <f t="shared" ca="1" si="31"/>
        <v>84431175</v>
      </c>
      <c r="I238" s="8">
        <f t="shared" ca="1" si="32"/>
        <v>64167693</v>
      </c>
      <c r="J238" s="8">
        <f t="shared" ca="1" si="33"/>
        <v>20263482</v>
      </c>
      <c r="K238" s="6">
        <f t="shared" ca="1" si="34"/>
        <v>0.24</v>
      </c>
      <c r="L238" s="4" t="str" cm="1">
        <f t="array" aca="1" ref="L23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38" s="8">
        <f t="shared" ca="1" si="35"/>
        <v>3614</v>
      </c>
      <c r="N238" s="4" t="str" cm="1">
        <f t="array" aca="1" ref="N238" ca="1">INDEX({"New";"Repeat"}, RANDBETWEEN(1,2))</f>
        <v>Repeat</v>
      </c>
      <c r="O238" s="4" t="str" cm="1">
        <f t="array" aca="1" ref="O238" ca="1">INDEX({"Loan";"Cash";"Lease"}, RANDBETWEEN(1,3))</f>
        <v>Loan</v>
      </c>
    </row>
    <row r="239" spans="1:15" x14ac:dyDescent="0.2">
      <c r="A239" s="4">
        <v>237</v>
      </c>
      <c r="B239" s="5">
        <f t="shared" ca="1" si="27"/>
        <v>44999</v>
      </c>
      <c r="C239" s="4" t="str" cm="1">
        <f t="array" aca="1" ref="C239" ca="1">INDEX({"Cochin";"Delhi";"Mumbai";"Pune";"Bengaluru"}, RANDBETWEEN(1,5))</f>
        <v>Bengaluru</v>
      </c>
      <c r="D239" s="4" t="str" cm="1">
        <f t="array" aca="1" ref="D239" ca="1">INDEX({"C-Class";"E-Class";"S-Class";"GLA";"GLC";"GLE";"GLS";"EQB"}, RANDBETWEEN(1,8))</f>
        <v>GLE</v>
      </c>
      <c r="E239" s="4" t="str">
        <f t="shared" ca="1" si="28"/>
        <v>SUV</v>
      </c>
      <c r="F239" s="4">
        <f t="shared" ca="1" si="29"/>
        <v>5</v>
      </c>
      <c r="G239" s="8">
        <f t="shared" ca="1" si="30"/>
        <v>10485903</v>
      </c>
      <c r="H239" s="8">
        <f t="shared" ca="1" si="31"/>
        <v>52429515</v>
      </c>
      <c r="I239" s="8">
        <f t="shared" ca="1" si="32"/>
        <v>40895021.700000003</v>
      </c>
      <c r="J239" s="8">
        <f t="shared" ca="1" si="33"/>
        <v>11534493.299999997</v>
      </c>
      <c r="K239" s="6">
        <f t="shared" ca="1" si="34"/>
        <v>0.21999999999999995</v>
      </c>
      <c r="L239" s="4" t="str" cm="1">
        <f t="array" aca="1" ref="L23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39" s="8">
        <f t="shared" ca="1" si="35"/>
        <v>7342</v>
      </c>
      <c r="N239" s="4" t="str" cm="1">
        <f t="array" aca="1" ref="N239" ca="1">INDEX({"New";"Repeat"}, RANDBETWEEN(1,2))</f>
        <v>Repeat</v>
      </c>
      <c r="O239" s="4" t="str" cm="1">
        <f t="array" aca="1" ref="O239" ca="1">INDEX({"Loan";"Cash";"Lease"}, RANDBETWEEN(1,3))</f>
        <v>Lease</v>
      </c>
    </row>
    <row r="240" spans="1:15" x14ac:dyDescent="0.2">
      <c r="A240" s="4">
        <v>238</v>
      </c>
      <c r="B240" s="5">
        <f t="shared" ca="1" si="27"/>
        <v>45876</v>
      </c>
      <c r="C240" s="4" t="str" cm="1">
        <f t="array" aca="1" ref="C240" ca="1">INDEX({"Cochin";"Delhi";"Mumbai";"Pune";"Bengaluru"}, RANDBETWEEN(1,5))</f>
        <v>Pune</v>
      </c>
      <c r="D240" s="4" t="str" cm="1">
        <f t="array" aca="1" ref="D240" ca="1">INDEX({"C-Class";"E-Class";"S-Class";"GLA";"GLC";"GLE";"GLS";"EQB"}, RANDBETWEEN(1,8))</f>
        <v>E-Class</v>
      </c>
      <c r="E240" s="4" t="str">
        <f t="shared" ca="1" si="28"/>
        <v>Sedan</v>
      </c>
      <c r="F240" s="4">
        <f t="shared" ca="1" si="29"/>
        <v>4</v>
      </c>
      <c r="G240" s="8">
        <f t="shared" ca="1" si="30"/>
        <v>9489683</v>
      </c>
      <c r="H240" s="8">
        <f t="shared" ca="1" si="31"/>
        <v>37958732</v>
      </c>
      <c r="I240" s="8">
        <f t="shared" ca="1" si="32"/>
        <v>28469049</v>
      </c>
      <c r="J240" s="8">
        <f t="shared" ca="1" si="33"/>
        <v>9489683</v>
      </c>
      <c r="K240" s="6">
        <f t="shared" ca="1" si="34"/>
        <v>0.25</v>
      </c>
      <c r="L240" s="4" t="str" cm="1">
        <f t="array" aca="1" ref="L24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40" s="8">
        <f t="shared" ca="1" si="35"/>
        <v>6114</v>
      </c>
      <c r="N240" s="4" t="str" cm="1">
        <f t="array" aca="1" ref="N240" ca="1">INDEX({"New";"Repeat"}, RANDBETWEEN(1,2))</f>
        <v>Repeat</v>
      </c>
      <c r="O240" s="4" t="str" cm="1">
        <f t="array" aca="1" ref="O240" ca="1">INDEX({"Loan";"Cash";"Lease"}, RANDBETWEEN(1,3))</f>
        <v>Cash</v>
      </c>
    </row>
    <row r="241" spans="1:15" x14ac:dyDescent="0.2">
      <c r="A241" s="4">
        <v>239</v>
      </c>
      <c r="B241" s="5">
        <f t="shared" ca="1" si="27"/>
        <v>45178</v>
      </c>
      <c r="C241" s="4" t="str" cm="1">
        <f t="array" aca="1" ref="C241" ca="1">INDEX({"Cochin";"Delhi";"Mumbai";"Pune";"Bengaluru"}, RANDBETWEEN(1,5))</f>
        <v>Mumbai</v>
      </c>
      <c r="D241" s="4" t="str" cm="1">
        <f t="array" aca="1" ref="D241" ca="1">INDEX({"C-Class";"E-Class";"S-Class";"GLA";"GLC";"GLE";"GLS";"EQB"}, RANDBETWEEN(1,8))</f>
        <v>C-Class</v>
      </c>
      <c r="E241" s="4" t="str">
        <f t="shared" ca="1" si="28"/>
        <v>Sedan</v>
      </c>
      <c r="F241" s="4">
        <f t="shared" ca="1" si="29"/>
        <v>3</v>
      </c>
      <c r="G241" s="8">
        <f t="shared" ca="1" si="30"/>
        <v>5779087</v>
      </c>
      <c r="H241" s="8">
        <f t="shared" ca="1" si="31"/>
        <v>17337261</v>
      </c>
      <c r="I241" s="8">
        <f t="shared" ca="1" si="32"/>
        <v>12309455.310000001</v>
      </c>
      <c r="J241" s="8">
        <f t="shared" ca="1" si="33"/>
        <v>5027805.6899999995</v>
      </c>
      <c r="K241" s="6">
        <f t="shared" ca="1" si="34"/>
        <v>0.28999999999999998</v>
      </c>
      <c r="L241" s="4" t="str" cm="1">
        <f t="array" aca="1" ref="L241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41" s="8">
        <f t="shared" ca="1" si="35"/>
        <v>7330</v>
      </c>
      <c r="N241" s="4" t="str" cm="1">
        <f t="array" aca="1" ref="N241" ca="1">INDEX({"New";"Repeat"}, RANDBETWEEN(1,2))</f>
        <v>Repeat</v>
      </c>
      <c r="O241" s="4" t="str" cm="1">
        <f t="array" aca="1" ref="O241" ca="1">INDEX({"Loan";"Cash";"Lease"}, RANDBETWEEN(1,3))</f>
        <v>Cash</v>
      </c>
    </row>
    <row r="242" spans="1:15" x14ac:dyDescent="0.2">
      <c r="A242" s="4">
        <v>240</v>
      </c>
      <c r="B242" s="5">
        <f t="shared" ca="1" si="27"/>
        <v>45161</v>
      </c>
      <c r="C242" s="4" t="str" cm="1">
        <f t="array" aca="1" ref="C242" ca="1">INDEX({"Cochin";"Delhi";"Mumbai";"Pune";"Bengaluru"}, RANDBETWEEN(1,5))</f>
        <v>Bengaluru</v>
      </c>
      <c r="D242" s="4" t="str" cm="1">
        <f t="array" aca="1" ref="D242" ca="1">INDEX({"C-Class";"E-Class";"S-Class";"GLA";"GLC";"GLE";"GLS";"EQB"}, RANDBETWEEN(1,8))</f>
        <v>EQB</v>
      </c>
      <c r="E242" s="4" t="str">
        <f t="shared" ca="1" si="28"/>
        <v>EV</v>
      </c>
      <c r="F242" s="4">
        <f t="shared" ca="1" si="29"/>
        <v>1</v>
      </c>
      <c r="G242" s="8">
        <f t="shared" ca="1" si="30"/>
        <v>7586268</v>
      </c>
      <c r="H242" s="8">
        <f t="shared" ca="1" si="31"/>
        <v>7586268</v>
      </c>
      <c r="I242" s="8">
        <f t="shared" ca="1" si="32"/>
        <v>5765563.6799999997</v>
      </c>
      <c r="J242" s="8">
        <f t="shared" ca="1" si="33"/>
        <v>1820704.3200000003</v>
      </c>
      <c r="K242" s="6">
        <f t="shared" ca="1" si="34"/>
        <v>0.24000000000000005</v>
      </c>
      <c r="L242" s="4" t="str" cm="1">
        <f t="array" aca="1" ref="L24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42" s="8">
        <f t="shared" ca="1" si="35"/>
        <v>19237</v>
      </c>
      <c r="N242" s="4" t="str" cm="1">
        <f t="array" aca="1" ref="N242" ca="1">INDEX({"New";"Repeat"}, RANDBETWEEN(1,2))</f>
        <v>New</v>
      </c>
      <c r="O242" s="4" t="str" cm="1">
        <f t="array" aca="1" ref="O242" ca="1">INDEX({"Loan";"Cash";"Lease"}, RANDBETWEEN(1,3))</f>
        <v>Cash</v>
      </c>
    </row>
    <row r="243" spans="1:15" x14ac:dyDescent="0.2">
      <c r="A243" s="4">
        <v>241</v>
      </c>
      <c r="B243" s="5">
        <f t="shared" ca="1" si="27"/>
        <v>45239</v>
      </c>
      <c r="C243" s="4" t="str" cm="1">
        <f t="array" aca="1" ref="C243" ca="1">INDEX({"Cochin";"Delhi";"Mumbai";"Pune";"Bengaluru"}, RANDBETWEEN(1,5))</f>
        <v>Pune</v>
      </c>
      <c r="D243" s="4" t="str" cm="1">
        <f t="array" aca="1" ref="D243" ca="1">INDEX({"C-Class";"E-Class";"S-Class";"GLA";"GLC";"GLE";"GLS";"EQB"}, RANDBETWEEN(1,8))</f>
        <v>GLA</v>
      </c>
      <c r="E243" s="4" t="str">
        <f t="shared" ca="1" si="28"/>
        <v>SUV</v>
      </c>
      <c r="F243" s="4">
        <f t="shared" ca="1" si="29"/>
        <v>2</v>
      </c>
      <c r="G243" s="8">
        <f t="shared" ca="1" si="30"/>
        <v>5440658</v>
      </c>
      <c r="H243" s="8">
        <f t="shared" ca="1" si="31"/>
        <v>10881316</v>
      </c>
      <c r="I243" s="8">
        <f t="shared" ca="1" si="32"/>
        <v>8269800.1600000001</v>
      </c>
      <c r="J243" s="8">
        <f t="shared" ca="1" si="33"/>
        <v>2611515.84</v>
      </c>
      <c r="K243" s="6">
        <f t="shared" ca="1" si="34"/>
        <v>0.24</v>
      </c>
      <c r="L243" s="4" t="str" cm="1">
        <f t="array" aca="1" ref="L243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43" s="8">
        <f t="shared" ca="1" si="35"/>
        <v>5716</v>
      </c>
      <c r="N243" s="4" t="str" cm="1">
        <f t="array" aca="1" ref="N243" ca="1">INDEX({"New";"Repeat"}, RANDBETWEEN(1,2))</f>
        <v>Repeat</v>
      </c>
      <c r="O243" s="4" t="str" cm="1">
        <f t="array" aca="1" ref="O243" ca="1">INDEX({"Loan";"Cash";"Lease"}, RANDBETWEEN(1,3))</f>
        <v>Cash</v>
      </c>
    </row>
    <row r="244" spans="1:15" x14ac:dyDescent="0.2">
      <c r="A244" s="4">
        <v>242</v>
      </c>
      <c r="B244" s="5">
        <f t="shared" ca="1" si="27"/>
        <v>45380</v>
      </c>
      <c r="C244" s="4" t="str" cm="1">
        <f t="array" aca="1" ref="C244" ca="1">INDEX({"Cochin";"Delhi";"Mumbai";"Pune";"Bengaluru"}, RANDBETWEEN(1,5))</f>
        <v>Delhi</v>
      </c>
      <c r="D244" s="4" t="str" cm="1">
        <f t="array" aca="1" ref="D244" ca="1">INDEX({"C-Class";"E-Class";"S-Class";"GLA";"GLC";"GLE";"GLS";"EQB"}, RANDBETWEEN(1,8))</f>
        <v>GLC</v>
      </c>
      <c r="E244" s="4" t="str">
        <f t="shared" ca="1" si="28"/>
        <v>SUV</v>
      </c>
      <c r="F244" s="4">
        <f t="shared" ca="1" si="29"/>
        <v>5</v>
      </c>
      <c r="G244" s="8">
        <f t="shared" ca="1" si="30"/>
        <v>6973420</v>
      </c>
      <c r="H244" s="8">
        <f t="shared" ca="1" si="31"/>
        <v>34867100</v>
      </c>
      <c r="I244" s="8">
        <f t="shared" ca="1" si="32"/>
        <v>27196338</v>
      </c>
      <c r="J244" s="8">
        <f t="shared" ca="1" si="33"/>
        <v>7670762</v>
      </c>
      <c r="K244" s="6">
        <f t="shared" ca="1" si="34"/>
        <v>0.22</v>
      </c>
      <c r="L244" s="4" t="str" cm="1">
        <f t="array" aca="1" ref="L244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44" s="8">
        <f t="shared" ca="1" si="35"/>
        <v>7416</v>
      </c>
      <c r="N244" s="4" t="str" cm="1">
        <f t="array" aca="1" ref="N244" ca="1">INDEX({"New";"Repeat"}, RANDBETWEEN(1,2))</f>
        <v>Repeat</v>
      </c>
      <c r="O244" s="4" t="str" cm="1">
        <f t="array" aca="1" ref="O244" ca="1">INDEX({"Loan";"Cash";"Lease"}, RANDBETWEEN(1,3))</f>
        <v>Lease</v>
      </c>
    </row>
    <row r="245" spans="1:15" x14ac:dyDescent="0.2">
      <c r="A245" s="4">
        <v>243</v>
      </c>
      <c r="B245" s="5">
        <f t="shared" ca="1" si="27"/>
        <v>45126</v>
      </c>
      <c r="C245" s="4" t="str" cm="1">
        <f t="array" aca="1" ref="C245" ca="1">INDEX({"Cochin";"Delhi";"Mumbai";"Pune";"Bengaluru"}, RANDBETWEEN(1,5))</f>
        <v>Bengaluru</v>
      </c>
      <c r="D245" s="4" t="str" cm="1">
        <f t="array" aca="1" ref="D245" ca="1">INDEX({"C-Class";"E-Class";"S-Class";"GLA";"GLC";"GLE";"GLS";"EQB"}, RANDBETWEEN(1,8))</f>
        <v>GLC</v>
      </c>
      <c r="E245" s="4" t="str">
        <f t="shared" ca="1" si="28"/>
        <v>SUV</v>
      </c>
      <c r="F245" s="4">
        <f t="shared" ca="1" si="29"/>
        <v>2</v>
      </c>
      <c r="G245" s="8">
        <f t="shared" ca="1" si="30"/>
        <v>6730554</v>
      </c>
      <c r="H245" s="8">
        <f t="shared" ca="1" si="31"/>
        <v>13461108</v>
      </c>
      <c r="I245" s="8">
        <f t="shared" ca="1" si="32"/>
        <v>10365053.16</v>
      </c>
      <c r="J245" s="8">
        <f t="shared" ca="1" si="33"/>
        <v>3096054.84</v>
      </c>
      <c r="K245" s="6">
        <f t="shared" ca="1" si="34"/>
        <v>0.22999999999999998</v>
      </c>
      <c r="L245" s="4" t="str" cm="1">
        <f t="array" aca="1" ref="L245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45" s="8">
        <f t="shared" ca="1" si="35"/>
        <v>14882</v>
      </c>
      <c r="N245" s="4" t="str" cm="1">
        <f t="array" aca="1" ref="N245" ca="1">INDEX({"New";"Repeat"}, RANDBETWEEN(1,2))</f>
        <v>New</v>
      </c>
      <c r="O245" s="4" t="str" cm="1">
        <f t="array" aca="1" ref="O245" ca="1">INDEX({"Loan";"Cash";"Lease"}, RANDBETWEEN(1,3))</f>
        <v>Lease</v>
      </c>
    </row>
    <row r="246" spans="1:15" x14ac:dyDescent="0.2">
      <c r="A246" s="4">
        <v>244</v>
      </c>
      <c r="B246" s="5">
        <f t="shared" ca="1" si="27"/>
        <v>45283</v>
      </c>
      <c r="C246" s="4" t="str" cm="1">
        <f t="array" aca="1" ref="C246" ca="1">INDEX({"Cochin";"Delhi";"Mumbai";"Pune";"Bengaluru"}, RANDBETWEEN(1,5))</f>
        <v>Cochin</v>
      </c>
      <c r="D246" s="4" t="str" cm="1">
        <f t="array" aca="1" ref="D246" ca="1">INDEX({"C-Class";"E-Class";"S-Class";"GLA";"GLC";"GLE";"GLS";"EQB"}, RANDBETWEEN(1,8))</f>
        <v>E-Class</v>
      </c>
      <c r="E246" s="4" t="str">
        <f t="shared" ca="1" si="28"/>
        <v>Sedan</v>
      </c>
      <c r="F246" s="4">
        <f t="shared" ca="1" si="29"/>
        <v>3</v>
      </c>
      <c r="G246" s="8">
        <f t="shared" ca="1" si="30"/>
        <v>9169093</v>
      </c>
      <c r="H246" s="8">
        <f t="shared" ca="1" si="31"/>
        <v>27507279</v>
      </c>
      <c r="I246" s="8">
        <f t="shared" ca="1" si="32"/>
        <v>22280895.989999998</v>
      </c>
      <c r="J246" s="8">
        <f t="shared" ca="1" si="33"/>
        <v>5226383.0100000016</v>
      </c>
      <c r="K246" s="6">
        <f t="shared" ca="1" si="34"/>
        <v>0.19000000000000006</v>
      </c>
      <c r="L246" s="4" t="str" cm="1">
        <f t="array" aca="1" ref="L246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246" s="8">
        <f t="shared" ca="1" si="35"/>
        <v>24672</v>
      </c>
      <c r="N246" s="4" t="str" cm="1">
        <f t="array" aca="1" ref="N246" ca="1">INDEX({"New";"Repeat"}, RANDBETWEEN(1,2))</f>
        <v>New</v>
      </c>
      <c r="O246" s="4" t="str" cm="1">
        <f t="array" aca="1" ref="O246" ca="1">INDEX({"Loan";"Cash";"Lease"}, RANDBETWEEN(1,3))</f>
        <v>Loan</v>
      </c>
    </row>
    <row r="247" spans="1:15" x14ac:dyDescent="0.2">
      <c r="A247" s="4">
        <v>245</v>
      </c>
      <c r="B247" s="5">
        <f t="shared" ca="1" si="27"/>
        <v>45108</v>
      </c>
      <c r="C247" s="4" t="str" cm="1">
        <f t="array" aca="1" ref="C247" ca="1">INDEX({"Cochin";"Delhi";"Mumbai";"Pune";"Bengaluru"}, RANDBETWEEN(1,5))</f>
        <v>Bengaluru</v>
      </c>
      <c r="D247" s="4" t="str" cm="1">
        <f t="array" aca="1" ref="D247" ca="1">INDEX({"C-Class";"E-Class";"S-Class";"GLA";"GLC";"GLE";"GLS";"EQB"}, RANDBETWEEN(1,8))</f>
        <v>GLA</v>
      </c>
      <c r="E247" s="4" t="str">
        <f t="shared" ca="1" si="28"/>
        <v>SUV</v>
      </c>
      <c r="F247" s="4">
        <f t="shared" ca="1" si="29"/>
        <v>3</v>
      </c>
      <c r="G247" s="8">
        <f t="shared" ca="1" si="30"/>
        <v>4685702</v>
      </c>
      <c r="H247" s="8">
        <f t="shared" ca="1" si="31"/>
        <v>14057106</v>
      </c>
      <c r="I247" s="8">
        <f t="shared" ca="1" si="32"/>
        <v>11667397.98</v>
      </c>
      <c r="J247" s="8">
        <f t="shared" ca="1" si="33"/>
        <v>2389708.0199999996</v>
      </c>
      <c r="K247" s="6">
        <f t="shared" ca="1" si="34"/>
        <v>0.16999999999999996</v>
      </c>
      <c r="L247" s="4" t="str" cm="1">
        <f t="array" aca="1" ref="L24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47" s="8">
        <f t="shared" ca="1" si="35"/>
        <v>10267</v>
      </c>
      <c r="N247" s="4" t="str" cm="1">
        <f t="array" aca="1" ref="N247" ca="1">INDEX({"New";"Repeat"}, RANDBETWEEN(1,2))</f>
        <v>New</v>
      </c>
      <c r="O247" s="4" t="str" cm="1">
        <f t="array" aca="1" ref="O247" ca="1">INDEX({"Loan";"Cash";"Lease"}, RANDBETWEEN(1,3))</f>
        <v>Cash</v>
      </c>
    </row>
    <row r="248" spans="1:15" x14ac:dyDescent="0.2">
      <c r="A248" s="4">
        <v>246</v>
      </c>
      <c r="B248" s="5">
        <f t="shared" ca="1" si="27"/>
        <v>45174</v>
      </c>
      <c r="C248" s="4" t="str" cm="1">
        <f t="array" aca="1" ref="C248" ca="1">INDEX({"Cochin";"Delhi";"Mumbai";"Pune";"Bengaluru"}, RANDBETWEEN(1,5))</f>
        <v>Bengaluru</v>
      </c>
      <c r="D248" s="4" t="str" cm="1">
        <f t="array" aca="1" ref="D248" ca="1">INDEX({"C-Class";"E-Class";"S-Class";"GLA";"GLC";"GLE";"GLS";"EQB"}, RANDBETWEEN(1,8))</f>
        <v>GLC</v>
      </c>
      <c r="E248" s="4" t="str">
        <f t="shared" ca="1" si="28"/>
        <v>SUV</v>
      </c>
      <c r="F248" s="4">
        <f t="shared" ca="1" si="29"/>
        <v>3</v>
      </c>
      <c r="G248" s="8">
        <f t="shared" ca="1" si="30"/>
        <v>7388082</v>
      </c>
      <c r="H248" s="8">
        <f t="shared" ca="1" si="31"/>
        <v>22164246</v>
      </c>
      <c r="I248" s="8">
        <f t="shared" ca="1" si="32"/>
        <v>15958257.119999999</v>
      </c>
      <c r="J248" s="8">
        <f t="shared" ca="1" si="33"/>
        <v>6205988.8800000008</v>
      </c>
      <c r="K248" s="6">
        <f t="shared" ca="1" si="34"/>
        <v>0.28000000000000003</v>
      </c>
      <c r="L248" s="4" t="str" cm="1">
        <f t="array" aca="1" ref="L24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48" s="8">
        <f t="shared" ca="1" si="35"/>
        <v>4152</v>
      </c>
      <c r="N248" s="4" t="str" cm="1">
        <f t="array" aca="1" ref="N248" ca="1">INDEX({"New";"Repeat"}, RANDBETWEEN(1,2))</f>
        <v>Repeat</v>
      </c>
      <c r="O248" s="4" t="str" cm="1">
        <f t="array" aca="1" ref="O248" ca="1">INDEX({"Loan";"Cash";"Lease"}, RANDBETWEEN(1,3))</f>
        <v>Lease</v>
      </c>
    </row>
    <row r="249" spans="1:15" x14ac:dyDescent="0.2">
      <c r="A249" s="4">
        <v>247</v>
      </c>
      <c r="B249" s="5">
        <f t="shared" ca="1" si="27"/>
        <v>45709</v>
      </c>
      <c r="C249" s="4" t="str" cm="1">
        <f t="array" aca="1" ref="C249" ca="1">INDEX({"Cochin";"Delhi";"Mumbai";"Pune";"Bengaluru"}, RANDBETWEEN(1,5))</f>
        <v>Cochin</v>
      </c>
      <c r="D249" s="4" t="str" cm="1">
        <f t="array" aca="1" ref="D249" ca="1">INDEX({"C-Class";"E-Class";"S-Class";"GLA";"GLC";"GLE";"GLS";"EQB"}, RANDBETWEEN(1,8))</f>
        <v>EQB</v>
      </c>
      <c r="E249" s="4" t="str">
        <f t="shared" ca="1" si="28"/>
        <v>EV</v>
      </c>
      <c r="F249" s="4">
        <f t="shared" ca="1" si="29"/>
        <v>4</v>
      </c>
      <c r="G249" s="8">
        <f t="shared" ca="1" si="30"/>
        <v>7026889</v>
      </c>
      <c r="H249" s="8">
        <f t="shared" ca="1" si="31"/>
        <v>28107556</v>
      </c>
      <c r="I249" s="8">
        <f t="shared" ca="1" si="32"/>
        <v>22767120.359999999</v>
      </c>
      <c r="J249" s="8">
        <f t="shared" ca="1" si="33"/>
        <v>5340435.6400000006</v>
      </c>
      <c r="K249" s="6">
        <f t="shared" ca="1" si="34"/>
        <v>0.19000000000000003</v>
      </c>
      <c r="L249" s="4" t="str" cm="1">
        <f t="array" aca="1" ref="L24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249" s="8">
        <f t="shared" ca="1" si="35"/>
        <v>24856</v>
      </c>
      <c r="N249" s="4" t="str" cm="1">
        <f t="array" aca="1" ref="N249" ca="1">INDEX({"New";"Repeat"}, RANDBETWEEN(1,2))</f>
        <v>New</v>
      </c>
      <c r="O249" s="4" t="str" cm="1">
        <f t="array" aca="1" ref="O249" ca="1">INDEX({"Loan";"Cash";"Lease"}, RANDBETWEEN(1,3))</f>
        <v>Loan</v>
      </c>
    </row>
    <row r="250" spans="1:15" x14ac:dyDescent="0.2">
      <c r="A250" s="4">
        <v>248</v>
      </c>
      <c r="B250" s="5">
        <f t="shared" ca="1" si="27"/>
        <v>45115</v>
      </c>
      <c r="C250" s="4" t="str" cm="1">
        <f t="array" aca="1" ref="C250" ca="1">INDEX({"Cochin";"Delhi";"Mumbai";"Pune";"Bengaluru"}, RANDBETWEEN(1,5))</f>
        <v>Cochin</v>
      </c>
      <c r="D250" s="4" t="str" cm="1">
        <f t="array" aca="1" ref="D250" ca="1">INDEX({"C-Class";"E-Class";"S-Class";"GLA";"GLC";"GLE";"GLS";"EQB"}, RANDBETWEEN(1,8))</f>
        <v>GLE</v>
      </c>
      <c r="E250" s="4" t="str">
        <f t="shared" ca="1" si="28"/>
        <v>SUV</v>
      </c>
      <c r="F250" s="4">
        <f t="shared" ca="1" si="29"/>
        <v>2</v>
      </c>
      <c r="G250" s="8">
        <f t="shared" ca="1" si="30"/>
        <v>12738644</v>
      </c>
      <c r="H250" s="8">
        <f t="shared" ca="1" si="31"/>
        <v>25477288</v>
      </c>
      <c r="I250" s="8">
        <f t="shared" ca="1" si="32"/>
        <v>19617511.760000002</v>
      </c>
      <c r="J250" s="8">
        <f t="shared" ca="1" si="33"/>
        <v>5859776.2399999984</v>
      </c>
      <c r="K250" s="6">
        <f t="shared" ca="1" si="34"/>
        <v>0.22999999999999993</v>
      </c>
      <c r="L250" s="4" t="str" cm="1">
        <f t="array" aca="1" ref="L250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250" s="8">
        <f t="shared" ca="1" si="35"/>
        <v>4498</v>
      </c>
      <c r="N250" s="4" t="str" cm="1">
        <f t="array" aca="1" ref="N250" ca="1">INDEX({"New";"Repeat"}, RANDBETWEEN(1,2))</f>
        <v>Repeat</v>
      </c>
      <c r="O250" s="4" t="str" cm="1">
        <f t="array" aca="1" ref="O250" ca="1">INDEX({"Loan";"Cash";"Lease"}, RANDBETWEEN(1,3))</f>
        <v>Lease</v>
      </c>
    </row>
    <row r="251" spans="1:15" x14ac:dyDescent="0.2">
      <c r="A251" s="4">
        <v>249</v>
      </c>
      <c r="B251" s="5">
        <f t="shared" ca="1" si="27"/>
        <v>45239</v>
      </c>
      <c r="C251" s="4" t="str" cm="1">
        <f t="array" aca="1" ref="C251" ca="1">INDEX({"Cochin";"Delhi";"Mumbai";"Pune";"Bengaluru"}, RANDBETWEEN(1,5))</f>
        <v>Pune</v>
      </c>
      <c r="D251" s="4" t="str" cm="1">
        <f t="array" aca="1" ref="D251" ca="1">INDEX({"C-Class";"E-Class";"S-Class";"GLA";"GLC";"GLE";"GLS";"EQB"}, RANDBETWEEN(1,8))</f>
        <v>S-Class</v>
      </c>
      <c r="E251" s="4" t="str">
        <f t="shared" ca="1" si="28"/>
        <v>Sedan</v>
      </c>
      <c r="F251" s="4">
        <f t="shared" ca="1" si="29"/>
        <v>3</v>
      </c>
      <c r="G251" s="8">
        <f t="shared" ca="1" si="30"/>
        <v>20537521</v>
      </c>
      <c r="H251" s="8">
        <f t="shared" ca="1" si="31"/>
        <v>61612563</v>
      </c>
      <c r="I251" s="8">
        <f t="shared" ca="1" si="32"/>
        <v>48057799.140000001</v>
      </c>
      <c r="J251" s="8">
        <f t="shared" ca="1" si="33"/>
        <v>13554763.859999999</v>
      </c>
      <c r="K251" s="6">
        <f t="shared" ca="1" si="34"/>
        <v>0.22</v>
      </c>
      <c r="L251" s="4" t="str" cm="1">
        <f t="array" aca="1" ref="L25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51" s="8">
        <f t="shared" ca="1" si="35"/>
        <v>16380</v>
      </c>
      <c r="N251" s="4" t="str" cm="1">
        <f t="array" aca="1" ref="N251" ca="1">INDEX({"New";"Repeat"}, RANDBETWEEN(1,2))</f>
        <v>New</v>
      </c>
      <c r="O251" s="4" t="str" cm="1">
        <f t="array" aca="1" ref="O251" ca="1">INDEX({"Loan";"Cash";"Lease"}, RANDBETWEEN(1,3))</f>
        <v>Cash</v>
      </c>
    </row>
    <row r="252" spans="1:15" x14ac:dyDescent="0.2">
      <c r="A252" s="4">
        <v>250</v>
      </c>
      <c r="B252" s="5">
        <f t="shared" ca="1" si="27"/>
        <v>45841</v>
      </c>
      <c r="C252" s="4" t="str" cm="1">
        <f t="array" aca="1" ref="C252" ca="1">INDEX({"Cochin";"Delhi";"Mumbai";"Pune";"Bengaluru"}, RANDBETWEEN(1,5))</f>
        <v>Mumbai</v>
      </c>
      <c r="D252" s="4" t="str" cm="1">
        <f t="array" aca="1" ref="D252" ca="1">INDEX({"C-Class";"E-Class";"S-Class";"GLA";"GLC";"GLE";"GLS";"EQB"}, RANDBETWEEN(1,8))</f>
        <v>S-Class</v>
      </c>
      <c r="E252" s="4" t="str">
        <f t="shared" ca="1" si="28"/>
        <v>Sedan</v>
      </c>
      <c r="F252" s="4">
        <f t="shared" ca="1" si="29"/>
        <v>4</v>
      </c>
      <c r="G252" s="8">
        <f t="shared" ca="1" si="30"/>
        <v>22657178</v>
      </c>
      <c r="H252" s="8">
        <f t="shared" ca="1" si="31"/>
        <v>90628712</v>
      </c>
      <c r="I252" s="8">
        <f t="shared" ca="1" si="32"/>
        <v>73409256.719999999</v>
      </c>
      <c r="J252" s="8">
        <f t="shared" ca="1" si="33"/>
        <v>17219455.280000001</v>
      </c>
      <c r="K252" s="6">
        <f t="shared" ca="1" si="34"/>
        <v>0.19</v>
      </c>
      <c r="L252" s="4" t="str" cm="1">
        <f t="array" aca="1" ref="L25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52" s="8">
        <f t="shared" ca="1" si="35"/>
        <v>7805</v>
      </c>
      <c r="N252" s="4" t="str" cm="1">
        <f t="array" aca="1" ref="N252" ca="1">INDEX({"New";"Repeat"}, RANDBETWEEN(1,2))</f>
        <v>Repeat</v>
      </c>
      <c r="O252" s="4" t="str" cm="1">
        <f t="array" aca="1" ref="O252" ca="1">INDEX({"Loan";"Cash";"Lease"}, RANDBETWEEN(1,3))</f>
        <v>Lease</v>
      </c>
    </row>
    <row r="253" spans="1:15" x14ac:dyDescent="0.2">
      <c r="A253" s="4">
        <v>251</v>
      </c>
      <c r="B253" s="5">
        <f t="shared" ca="1" si="27"/>
        <v>45435</v>
      </c>
      <c r="C253" s="4" t="str" cm="1">
        <f t="array" aca="1" ref="C253" ca="1">INDEX({"Cochin";"Delhi";"Mumbai";"Pune";"Bengaluru"}, RANDBETWEEN(1,5))</f>
        <v>Cochin</v>
      </c>
      <c r="D253" s="4" t="str" cm="1">
        <f t="array" aca="1" ref="D253" ca="1">INDEX({"C-Class";"E-Class";"S-Class";"GLA";"GLC";"GLE";"GLS";"EQB"}, RANDBETWEEN(1,8))</f>
        <v>EQB</v>
      </c>
      <c r="E253" s="4" t="str">
        <f t="shared" ca="1" si="28"/>
        <v>EV</v>
      </c>
      <c r="F253" s="4">
        <f t="shared" ca="1" si="29"/>
        <v>3</v>
      </c>
      <c r="G253" s="8">
        <f t="shared" ca="1" si="30"/>
        <v>7068615</v>
      </c>
      <c r="H253" s="8">
        <f t="shared" ca="1" si="31"/>
        <v>21205845</v>
      </c>
      <c r="I253" s="8">
        <f t="shared" ca="1" si="32"/>
        <v>17388792.899999999</v>
      </c>
      <c r="J253" s="8">
        <f t="shared" ca="1" si="33"/>
        <v>3817052.1000000015</v>
      </c>
      <c r="K253" s="6">
        <f t="shared" ca="1" si="34"/>
        <v>0.18000000000000008</v>
      </c>
      <c r="L253" s="4" t="str" cm="1">
        <f t="array" aca="1" ref="L253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53" s="8">
        <f t="shared" ca="1" si="35"/>
        <v>7478</v>
      </c>
      <c r="N253" s="4" t="str" cm="1">
        <f t="array" aca="1" ref="N253" ca="1">INDEX({"New";"Repeat"}, RANDBETWEEN(1,2))</f>
        <v>Repeat</v>
      </c>
      <c r="O253" s="4" t="str" cm="1">
        <f t="array" aca="1" ref="O253" ca="1">INDEX({"Loan";"Cash";"Lease"}, RANDBETWEEN(1,3))</f>
        <v>Loan</v>
      </c>
    </row>
    <row r="254" spans="1:15" x14ac:dyDescent="0.2">
      <c r="A254" s="4">
        <v>252</v>
      </c>
      <c r="B254" s="5">
        <f t="shared" ca="1" si="27"/>
        <v>45241</v>
      </c>
      <c r="C254" s="4" t="str" cm="1">
        <f t="array" aca="1" ref="C254" ca="1">INDEX({"Cochin";"Delhi";"Mumbai";"Pune";"Bengaluru"}, RANDBETWEEN(1,5))</f>
        <v>Delhi</v>
      </c>
      <c r="D254" s="4" t="str" cm="1">
        <f t="array" aca="1" ref="D254" ca="1">INDEX({"C-Class";"E-Class";"S-Class";"GLA";"GLC";"GLE";"GLS";"EQB"}, RANDBETWEEN(1,8))</f>
        <v>GLA</v>
      </c>
      <c r="E254" s="4" t="str">
        <f t="shared" ca="1" si="28"/>
        <v>SUV</v>
      </c>
      <c r="F254" s="4">
        <f t="shared" ca="1" si="29"/>
        <v>2</v>
      </c>
      <c r="G254" s="8">
        <f t="shared" ca="1" si="30"/>
        <v>4778045</v>
      </c>
      <c r="H254" s="8">
        <f t="shared" ca="1" si="31"/>
        <v>9556090</v>
      </c>
      <c r="I254" s="8">
        <f t="shared" ca="1" si="32"/>
        <v>6975945.7000000002</v>
      </c>
      <c r="J254" s="8">
        <f t="shared" ca="1" si="33"/>
        <v>2580144.2999999998</v>
      </c>
      <c r="K254" s="6">
        <f t="shared" ca="1" si="34"/>
        <v>0.26999999999999996</v>
      </c>
      <c r="L254" s="4" t="str" cm="1">
        <f t="array" aca="1" ref="L254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54" s="8">
        <f t="shared" ca="1" si="35"/>
        <v>12139</v>
      </c>
      <c r="N254" s="4" t="str" cm="1">
        <f t="array" aca="1" ref="N254" ca="1">INDEX({"New";"Repeat"}, RANDBETWEEN(1,2))</f>
        <v>New</v>
      </c>
      <c r="O254" s="4" t="str" cm="1">
        <f t="array" aca="1" ref="O254" ca="1">INDEX({"Loan";"Cash";"Lease"}, RANDBETWEEN(1,3))</f>
        <v>Loan</v>
      </c>
    </row>
    <row r="255" spans="1:15" x14ac:dyDescent="0.2">
      <c r="A255" s="4">
        <v>253</v>
      </c>
      <c r="B255" s="5">
        <f t="shared" ca="1" si="27"/>
        <v>45845</v>
      </c>
      <c r="C255" s="4" t="str" cm="1">
        <f t="array" aca="1" ref="C255" ca="1">INDEX({"Cochin";"Delhi";"Mumbai";"Pune";"Bengaluru"}, RANDBETWEEN(1,5))</f>
        <v>Cochin</v>
      </c>
      <c r="D255" s="4" t="str" cm="1">
        <f t="array" aca="1" ref="D255" ca="1">INDEX({"C-Class";"E-Class";"S-Class";"GLA";"GLC";"GLE";"GLS";"EQB"}, RANDBETWEEN(1,8))</f>
        <v>GLS</v>
      </c>
      <c r="E255" s="4" t="str">
        <f t="shared" ca="1" si="28"/>
        <v>SUV</v>
      </c>
      <c r="F255" s="4">
        <f t="shared" ca="1" si="29"/>
        <v>2</v>
      </c>
      <c r="G255" s="8">
        <f t="shared" ca="1" si="30"/>
        <v>16273457</v>
      </c>
      <c r="H255" s="8">
        <f t="shared" ca="1" si="31"/>
        <v>32546914</v>
      </c>
      <c r="I255" s="8">
        <f t="shared" ca="1" si="32"/>
        <v>25061123.780000001</v>
      </c>
      <c r="J255" s="8">
        <f t="shared" ca="1" si="33"/>
        <v>7485790.2199999988</v>
      </c>
      <c r="K255" s="6">
        <f t="shared" ca="1" si="34"/>
        <v>0.22999999999999995</v>
      </c>
      <c r="L255" s="4" t="str" cm="1">
        <f t="array" aca="1" ref="L25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55" s="8">
        <f t="shared" ca="1" si="35"/>
        <v>3956</v>
      </c>
      <c r="N255" s="4" t="str" cm="1">
        <f t="array" aca="1" ref="N255" ca="1">INDEX({"New";"Repeat"}, RANDBETWEEN(1,2))</f>
        <v>Repeat</v>
      </c>
      <c r="O255" s="4" t="str" cm="1">
        <f t="array" aca="1" ref="O255" ca="1">INDEX({"Loan";"Cash";"Lease"}, RANDBETWEEN(1,3))</f>
        <v>Cash</v>
      </c>
    </row>
    <row r="256" spans="1:15" x14ac:dyDescent="0.2">
      <c r="A256" s="4">
        <v>254</v>
      </c>
      <c r="B256" s="5">
        <f t="shared" ca="1" si="27"/>
        <v>45692</v>
      </c>
      <c r="C256" s="4" t="str" cm="1">
        <f t="array" aca="1" ref="C256" ca="1">INDEX({"Cochin";"Delhi";"Mumbai";"Pune";"Bengaluru"}, RANDBETWEEN(1,5))</f>
        <v>Bengaluru</v>
      </c>
      <c r="D256" s="4" t="str" cm="1">
        <f t="array" aca="1" ref="D256" ca="1">INDEX({"C-Class";"E-Class";"S-Class";"GLA";"GLC";"GLE";"GLS";"EQB"}, RANDBETWEEN(1,8))</f>
        <v>GLE</v>
      </c>
      <c r="E256" s="4" t="str">
        <f t="shared" ca="1" si="28"/>
        <v>SUV</v>
      </c>
      <c r="F256" s="4">
        <f t="shared" ca="1" si="29"/>
        <v>5</v>
      </c>
      <c r="G256" s="8">
        <f t="shared" ca="1" si="30"/>
        <v>12276276</v>
      </c>
      <c r="H256" s="8">
        <f t="shared" ca="1" si="31"/>
        <v>61381380</v>
      </c>
      <c r="I256" s="8">
        <f t="shared" ca="1" si="32"/>
        <v>43580779.799999997</v>
      </c>
      <c r="J256" s="8">
        <f t="shared" ca="1" si="33"/>
        <v>17800600.200000003</v>
      </c>
      <c r="K256" s="6">
        <f t="shared" ca="1" si="34"/>
        <v>0.29000000000000004</v>
      </c>
      <c r="L256" s="4" t="str" cm="1">
        <f t="array" aca="1" ref="L25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256" s="8">
        <f t="shared" ca="1" si="35"/>
        <v>3286</v>
      </c>
      <c r="N256" s="4" t="str" cm="1">
        <f t="array" aca="1" ref="N256" ca="1">INDEX({"New";"Repeat"}, RANDBETWEEN(1,2))</f>
        <v>Repeat</v>
      </c>
      <c r="O256" s="4" t="str" cm="1">
        <f t="array" aca="1" ref="O256" ca="1">INDEX({"Loan";"Cash";"Lease"}, RANDBETWEEN(1,3))</f>
        <v>Loan</v>
      </c>
    </row>
    <row r="257" spans="1:15" x14ac:dyDescent="0.2">
      <c r="A257" s="4">
        <v>255</v>
      </c>
      <c r="B257" s="5">
        <f t="shared" ca="1" si="27"/>
        <v>44952</v>
      </c>
      <c r="C257" s="4" t="str" cm="1">
        <f t="array" aca="1" ref="C257" ca="1">INDEX({"Cochin";"Delhi";"Mumbai";"Pune";"Bengaluru"}, RANDBETWEEN(1,5))</f>
        <v>Cochin</v>
      </c>
      <c r="D257" s="4" t="str" cm="1">
        <f t="array" aca="1" ref="D257" ca="1">INDEX({"C-Class";"E-Class";"S-Class";"GLA";"GLC";"GLE";"GLS";"EQB"}, RANDBETWEEN(1,8))</f>
        <v>E-Class</v>
      </c>
      <c r="E257" s="4" t="str">
        <f t="shared" ca="1" si="28"/>
        <v>Sedan</v>
      </c>
      <c r="F257" s="4">
        <f t="shared" ca="1" si="29"/>
        <v>2</v>
      </c>
      <c r="G257" s="8">
        <f t="shared" ca="1" si="30"/>
        <v>8083316</v>
      </c>
      <c r="H257" s="8">
        <f t="shared" ca="1" si="31"/>
        <v>16166632</v>
      </c>
      <c r="I257" s="8">
        <f t="shared" ca="1" si="32"/>
        <v>11316642.4</v>
      </c>
      <c r="J257" s="8">
        <f t="shared" ca="1" si="33"/>
        <v>4849989.5999999996</v>
      </c>
      <c r="K257" s="6">
        <f t="shared" ca="1" si="34"/>
        <v>0.3</v>
      </c>
      <c r="L257" s="4" t="str" cm="1">
        <f t="array" aca="1" ref="L25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57" s="8">
        <f t="shared" ca="1" si="35"/>
        <v>14628</v>
      </c>
      <c r="N257" s="4" t="str" cm="1">
        <f t="array" aca="1" ref="N257" ca="1">INDEX({"New";"Repeat"}, RANDBETWEEN(1,2))</f>
        <v>New</v>
      </c>
      <c r="O257" s="4" t="str" cm="1">
        <f t="array" aca="1" ref="O257" ca="1">INDEX({"Loan";"Cash";"Lease"}, RANDBETWEEN(1,3))</f>
        <v>Lease</v>
      </c>
    </row>
    <row r="258" spans="1:15" x14ac:dyDescent="0.2">
      <c r="A258" s="4">
        <v>256</v>
      </c>
      <c r="B258" s="5">
        <f t="shared" ca="1" si="27"/>
        <v>45052</v>
      </c>
      <c r="C258" s="4" t="str" cm="1">
        <f t="array" aca="1" ref="C258" ca="1">INDEX({"Cochin";"Delhi";"Mumbai";"Pune";"Bengaluru"}, RANDBETWEEN(1,5))</f>
        <v>Cochin</v>
      </c>
      <c r="D258" s="4" t="str" cm="1">
        <f t="array" aca="1" ref="D258" ca="1">INDEX({"C-Class";"E-Class";"S-Class";"GLA";"GLC";"GLE";"GLS";"EQB"}, RANDBETWEEN(1,8))</f>
        <v>E-Class</v>
      </c>
      <c r="E258" s="4" t="str">
        <f t="shared" ca="1" si="28"/>
        <v>Sedan</v>
      </c>
      <c r="F258" s="4">
        <f t="shared" ca="1" si="29"/>
        <v>4</v>
      </c>
      <c r="G258" s="8">
        <f t="shared" ca="1" si="30"/>
        <v>8321763</v>
      </c>
      <c r="H258" s="8">
        <f t="shared" ca="1" si="31"/>
        <v>33287052</v>
      </c>
      <c r="I258" s="8">
        <f t="shared" ca="1" si="32"/>
        <v>27961123.68</v>
      </c>
      <c r="J258" s="8">
        <f t="shared" ca="1" si="33"/>
        <v>5325928.32</v>
      </c>
      <c r="K258" s="6">
        <f t="shared" ca="1" si="34"/>
        <v>0.16</v>
      </c>
      <c r="L258" s="4" t="str" cm="1">
        <f t="array" aca="1" ref="L258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58" s="8">
        <f t="shared" ca="1" si="35"/>
        <v>5137</v>
      </c>
      <c r="N258" s="4" t="str" cm="1">
        <f t="array" aca="1" ref="N258" ca="1">INDEX({"New";"Repeat"}, RANDBETWEEN(1,2))</f>
        <v>Repeat</v>
      </c>
      <c r="O258" s="4" t="str" cm="1">
        <f t="array" aca="1" ref="O258" ca="1">INDEX({"Loan";"Cash";"Lease"}, RANDBETWEEN(1,3))</f>
        <v>Loan</v>
      </c>
    </row>
    <row r="259" spans="1:15" x14ac:dyDescent="0.2">
      <c r="A259" s="4">
        <v>257</v>
      </c>
      <c r="B259" s="5">
        <f t="shared" ca="1" si="27"/>
        <v>45743</v>
      </c>
      <c r="C259" s="4" t="str" cm="1">
        <f t="array" aca="1" ref="C259" ca="1">INDEX({"Cochin";"Delhi";"Mumbai";"Pune";"Bengaluru"}, RANDBETWEEN(1,5))</f>
        <v>Pune</v>
      </c>
      <c r="D259" s="4" t="str" cm="1">
        <f t="array" aca="1" ref="D259" ca="1">INDEX({"C-Class";"E-Class";"S-Class";"GLA";"GLC";"GLE";"GLS";"EQB"}, RANDBETWEEN(1,8))</f>
        <v>GLE</v>
      </c>
      <c r="E259" s="4" t="str">
        <f t="shared" ca="1" si="28"/>
        <v>SUV</v>
      </c>
      <c r="F259" s="4">
        <f t="shared" ca="1" si="29"/>
        <v>3</v>
      </c>
      <c r="G259" s="8">
        <f t="shared" ca="1" si="30"/>
        <v>12303651</v>
      </c>
      <c r="H259" s="8">
        <f t="shared" ca="1" si="31"/>
        <v>36910953</v>
      </c>
      <c r="I259" s="8">
        <f t="shared" ca="1" si="32"/>
        <v>29159652.870000001</v>
      </c>
      <c r="J259" s="8">
        <f t="shared" ca="1" si="33"/>
        <v>7751300.129999999</v>
      </c>
      <c r="K259" s="6">
        <f t="shared" ca="1" si="34"/>
        <v>0.20999999999999996</v>
      </c>
      <c r="L259" s="4" t="str" cm="1">
        <f t="array" aca="1" ref="L25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59" s="8">
        <f t="shared" ca="1" si="35"/>
        <v>21623</v>
      </c>
      <c r="N259" s="4" t="str" cm="1">
        <f t="array" aca="1" ref="N259" ca="1">INDEX({"New";"Repeat"}, RANDBETWEEN(1,2))</f>
        <v>New</v>
      </c>
      <c r="O259" s="4" t="str" cm="1">
        <f t="array" aca="1" ref="O259" ca="1">INDEX({"Loan";"Cash";"Lease"}, RANDBETWEEN(1,3))</f>
        <v>Cash</v>
      </c>
    </row>
    <row r="260" spans="1:15" x14ac:dyDescent="0.2">
      <c r="A260" s="4">
        <v>258</v>
      </c>
      <c r="B260" s="5">
        <f t="shared" ref="B260:B323" ca="1" si="36">RANDBETWEEN(DATE(2023,1,1),DATE(2025,9,1))</f>
        <v>45087</v>
      </c>
      <c r="C260" s="4" t="str" cm="1">
        <f t="array" aca="1" ref="C260" ca="1">INDEX({"Cochin";"Delhi";"Mumbai";"Pune";"Bengaluru"}, RANDBETWEEN(1,5))</f>
        <v>Cochin</v>
      </c>
      <c r="D260" s="4" t="str" cm="1">
        <f t="array" aca="1" ref="D260" ca="1">INDEX({"C-Class";"E-Class";"S-Class";"GLA";"GLC";"GLE";"GLS";"EQB"}, RANDBETWEEN(1,8))</f>
        <v>GLA</v>
      </c>
      <c r="E260" s="4" t="str">
        <f t="shared" ref="E260:E323" ca="1" si="37">IF(D260="EQB","EV", IF(OR(D260="GLA",D260="GLC",D260="GLE",D260="GLS"),"SUV","Sedan"))</f>
        <v>SUV</v>
      </c>
      <c r="F260" s="4">
        <f t="shared" ref="F260:F323" ca="1" si="38">RANDBETWEEN(1,5)</f>
        <v>4</v>
      </c>
      <c r="G260" s="8">
        <f t="shared" ref="G260:G323" ca="1" si="39">IF(D260="C-Class",RANDBETWEEN(5500000,7000000),
IF(D260="E-Class",RANDBETWEEN(7500000,9500000),
IF(D260="S-Class",RANDBETWEEN(15000000,25000000),
IF(D260="GLA",RANDBETWEEN(4500000,5500000),
IF(D260="GLC",RANDBETWEEN(6500000,7500000),
IF(D260="GLE",RANDBETWEEN(9000000,13000000),
IF(D260="GLS",RANDBETWEEN(13000000,18000000),
IF(D260="EQB",RANDBETWEEN(7000000,8000000)))))))))</f>
        <v>5165007</v>
      </c>
      <c r="H260" s="8">
        <f t="shared" ref="H260:H323" ca="1" si="40">F260*G260</f>
        <v>20660028</v>
      </c>
      <c r="I260" s="8">
        <f t="shared" ref="I260:I323" ca="1" si="41">G260 *F260* RANDBETWEEN(70,85) / 100</f>
        <v>17147823.239999998</v>
      </c>
      <c r="J260" s="8">
        <f t="shared" ref="J260:J323" ca="1" si="42">H260 -I260</f>
        <v>3512204.7600000016</v>
      </c>
      <c r="K260" s="6">
        <f t="shared" ref="K260:K323" ca="1" si="43">J260/H260</f>
        <v>0.17000000000000007</v>
      </c>
      <c r="L260" s="4" t="str" cm="1">
        <f t="array" aca="1" ref="L26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60" s="8">
        <f t="shared" ref="M260:M323" ca="1" si="44">IF(N260="New", RANDBETWEEN(10000,25000), RANDBETWEEN(3000,8000))</f>
        <v>14515</v>
      </c>
      <c r="N260" s="4" t="str" cm="1">
        <f t="array" aca="1" ref="N260" ca="1">INDEX({"New";"Repeat"}, RANDBETWEEN(1,2))</f>
        <v>New</v>
      </c>
      <c r="O260" s="4" t="str" cm="1">
        <f t="array" aca="1" ref="O260" ca="1">INDEX({"Loan";"Cash";"Lease"}, RANDBETWEEN(1,3))</f>
        <v>Cash</v>
      </c>
    </row>
    <row r="261" spans="1:15" x14ac:dyDescent="0.2">
      <c r="A261" s="4">
        <v>259</v>
      </c>
      <c r="B261" s="5">
        <f t="shared" ca="1" si="36"/>
        <v>45279</v>
      </c>
      <c r="C261" s="4" t="str" cm="1">
        <f t="array" aca="1" ref="C261" ca="1">INDEX({"Cochin";"Delhi";"Mumbai";"Pune";"Bengaluru"}, RANDBETWEEN(1,5))</f>
        <v>Mumbai</v>
      </c>
      <c r="D261" s="4" t="str" cm="1">
        <f t="array" aca="1" ref="D261" ca="1">INDEX({"C-Class";"E-Class";"S-Class";"GLA";"GLC";"GLE";"GLS";"EQB"}, RANDBETWEEN(1,8))</f>
        <v>GLS</v>
      </c>
      <c r="E261" s="4" t="str">
        <f t="shared" ca="1" si="37"/>
        <v>SUV</v>
      </c>
      <c r="F261" s="4">
        <f t="shared" ca="1" si="38"/>
        <v>3</v>
      </c>
      <c r="G261" s="8">
        <f t="shared" ca="1" si="39"/>
        <v>16066801</v>
      </c>
      <c r="H261" s="8">
        <f t="shared" ca="1" si="40"/>
        <v>48200403</v>
      </c>
      <c r="I261" s="8">
        <f t="shared" ca="1" si="41"/>
        <v>35186294.189999998</v>
      </c>
      <c r="J261" s="8">
        <f t="shared" ca="1" si="42"/>
        <v>13014108.810000002</v>
      </c>
      <c r="K261" s="6">
        <f t="shared" ca="1" si="43"/>
        <v>0.27000000000000007</v>
      </c>
      <c r="L261" s="4" t="str" cm="1">
        <f t="array" aca="1" ref="L26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61" s="8">
        <f t="shared" ca="1" si="44"/>
        <v>22591</v>
      </c>
      <c r="N261" s="4" t="str" cm="1">
        <f t="array" aca="1" ref="N261" ca="1">INDEX({"New";"Repeat"}, RANDBETWEEN(1,2))</f>
        <v>New</v>
      </c>
      <c r="O261" s="4" t="str" cm="1">
        <f t="array" aca="1" ref="O261" ca="1">INDEX({"Loan";"Cash";"Lease"}, RANDBETWEEN(1,3))</f>
        <v>Lease</v>
      </c>
    </row>
    <row r="262" spans="1:15" x14ac:dyDescent="0.2">
      <c r="A262" s="4">
        <v>260</v>
      </c>
      <c r="B262" s="5">
        <f t="shared" ca="1" si="36"/>
        <v>45700</v>
      </c>
      <c r="C262" s="4" t="str" cm="1">
        <f t="array" aca="1" ref="C262" ca="1">INDEX({"Cochin";"Delhi";"Mumbai";"Pune";"Bengaluru"}, RANDBETWEEN(1,5))</f>
        <v>Delhi</v>
      </c>
      <c r="D262" s="4" t="str" cm="1">
        <f t="array" aca="1" ref="D262" ca="1">INDEX({"C-Class";"E-Class";"S-Class";"GLA";"GLC";"GLE";"GLS";"EQB"}, RANDBETWEEN(1,8))</f>
        <v>GLS</v>
      </c>
      <c r="E262" s="4" t="str">
        <f t="shared" ca="1" si="37"/>
        <v>SUV</v>
      </c>
      <c r="F262" s="4">
        <f t="shared" ca="1" si="38"/>
        <v>3</v>
      </c>
      <c r="G262" s="8">
        <f t="shared" ca="1" si="39"/>
        <v>13169827</v>
      </c>
      <c r="H262" s="8">
        <f t="shared" ca="1" si="40"/>
        <v>39509481</v>
      </c>
      <c r="I262" s="8">
        <f t="shared" ca="1" si="41"/>
        <v>29632110.75</v>
      </c>
      <c r="J262" s="8">
        <f t="shared" ca="1" si="42"/>
        <v>9877370.25</v>
      </c>
      <c r="K262" s="6">
        <f t="shared" ca="1" si="43"/>
        <v>0.25</v>
      </c>
      <c r="L262" s="4" t="str" cm="1">
        <f t="array" aca="1" ref="L26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62" s="8">
        <f t="shared" ca="1" si="44"/>
        <v>12992</v>
      </c>
      <c r="N262" s="4" t="str" cm="1">
        <f t="array" aca="1" ref="N262" ca="1">INDEX({"New";"Repeat"}, RANDBETWEEN(1,2))</f>
        <v>New</v>
      </c>
      <c r="O262" s="4" t="str" cm="1">
        <f t="array" aca="1" ref="O262" ca="1">INDEX({"Loan";"Cash";"Lease"}, RANDBETWEEN(1,3))</f>
        <v>Cash</v>
      </c>
    </row>
    <row r="263" spans="1:15" x14ac:dyDescent="0.2">
      <c r="A263" s="4">
        <v>261</v>
      </c>
      <c r="B263" s="5">
        <f t="shared" ca="1" si="36"/>
        <v>45635</v>
      </c>
      <c r="C263" s="4" t="str" cm="1">
        <f t="array" aca="1" ref="C263" ca="1">INDEX({"Cochin";"Delhi";"Mumbai";"Pune";"Bengaluru"}, RANDBETWEEN(1,5))</f>
        <v>Cochin</v>
      </c>
      <c r="D263" s="4" t="str" cm="1">
        <f t="array" aca="1" ref="D263" ca="1">INDEX({"C-Class";"E-Class";"S-Class";"GLA";"GLC";"GLE";"GLS";"EQB"}, RANDBETWEEN(1,8))</f>
        <v>S-Class</v>
      </c>
      <c r="E263" s="4" t="str">
        <f t="shared" ca="1" si="37"/>
        <v>Sedan</v>
      </c>
      <c r="F263" s="4">
        <f t="shared" ca="1" si="38"/>
        <v>5</v>
      </c>
      <c r="G263" s="8">
        <f t="shared" ca="1" si="39"/>
        <v>18751870</v>
      </c>
      <c r="H263" s="8">
        <f t="shared" ca="1" si="40"/>
        <v>93759350</v>
      </c>
      <c r="I263" s="8">
        <f t="shared" ca="1" si="41"/>
        <v>66569138.5</v>
      </c>
      <c r="J263" s="8">
        <f t="shared" ca="1" si="42"/>
        <v>27190211.5</v>
      </c>
      <c r="K263" s="6">
        <f t="shared" ca="1" si="43"/>
        <v>0.28999999999999998</v>
      </c>
      <c r="L263" s="4" t="str" cm="1">
        <f t="array" aca="1" ref="L263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63" s="8">
        <f t="shared" ca="1" si="44"/>
        <v>7374</v>
      </c>
      <c r="N263" s="4" t="str" cm="1">
        <f t="array" aca="1" ref="N263" ca="1">INDEX({"New";"Repeat"}, RANDBETWEEN(1,2))</f>
        <v>Repeat</v>
      </c>
      <c r="O263" s="4" t="str" cm="1">
        <f t="array" aca="1" ref="O263" ca="1">INDEX({"Loan";"Cash";"Lease"}, RANDBETWEEN(1,3))</f>
        <v>Cash</v>
      </c>
    </row>
    <row r="264" spans="1:15" x14ac:dyDescent="0.2">
      <c r="A264" s="4">
        <v>262</v>
      </c>
      <c r="B264" s="5">
        <f t="shared" ca="1" si="36"/>
        <v>45658</v>
      </c>
      <c r="C264" s="4" t="str" cm="1">
        <f t="array" aca="1" ref="C264" ca="1">INDEX({"Cochin";"Delhi";"Mumbai";"Pune";"Bengaluru"}, RANDBETWEEN(1,5))</f>
        <v>Pune</v>
      </c>
      <c r="D264" s="4" t="str" cm="1">
        <f t="array" aca="1" ref="D264" ca="1">INDEX({"C-Class";"E-Class";"S-Class";"GLA";"GLC";"GLE";"GLS";"EQB"}, RANDBETWEEN(1,8))</f>
        <v>EQB</v>
      </c>
      <c r="E264" s="4" t="str">
        <f t="shared" ca="1" si="37"/>
        <v>EV</v>
      </c>
      <c r="F264" s="4">
        <f t="shared" ca="1" si="38"/>
        <v>1</v>
      </c>
      <c r="G264" s="8">
        <f t="shared" ca="1" si="39"/>
        <v>7334819</v>
      </c>
      <c r="H264" s="8">
        <f t="shared" ca="1" si="40"/>
        <v>7334819</v>
      </c>
      <c r="I264" s="8">
        <f t="shared" ca="1" si="41"/>
        <v>5354417.87</v>
      </c>
      <c r="J264" s="8">
        <f t="shared" ca="1" si="42"/>
        <v>1980401.13</v>
      </c>
      <c r="K264" s="6">
        <f t="shared" ca="1" si="43"/>
        <v>0.26999999999999996</v>
      </c>
      <c r="L264" s="4" t="str" cm="1">
        <f t="array" aca="1" ref="L26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64" s="8">
        <f t="shared" ca="1" si="44"/>
        <v>6499</v>
      </c>
      <c r="N264" s="4" t="str" cm="1">
        <f t="array" aca="1" ref="N264" ca="1">INDEX({"New";"Repeat"}, RANDBETWEEN(1,2))</f>
        <v>Repeat</v>
      </c>
      <c r="O264" s="4" t="str" cm="1">
        <f t="array" aca="1" ref="O264" ca="1">INDEX({"Loan";"Cash";"Lease"}, RANDBETWEEN(1,3))</f>
        <v>Lease</v>
      </c>
    </row>
    <row r="265" spans="1:15" x14ac:dyDescent="0.2">
      <c r="A265" s="4">
        <v>263</v>
      </c>
      <c r="B265" s="5">
        <f t="shared" ca="1" si="36"/>
        <v>45059</v>
      </c>
      <c r="C265" s="4" t="str" cm="1">
        <f t="array" aca="1" ref="C265" ca="1">INDEX({"Cochin";"Delhi";"Mumbai";"Pune";"Bengaluru"}, RANDBETWEEN(1,5))</f>
        <v>Delhi</v>
      </c>
      <c r="D265" s="4" t="str" cm="1">
        <f t="array" aca="1" ref="D265" ca="1">INDEX({"C-Class";"E-Class";"S-Class";"GLA";"GLC";"GLE";"GLS";"EQB"}, RANDBETWEEN(1,8))</f>
        <v>E-Class</v>
      </c>
      <c r="E265" s="4" t="str">
        <f t="shared" ca="1" si="37"/>
        <v>Sedan</v>
      </c>
      <c r="F265" s="4">
        <f t="shared" ca="1" si="38"/>
        <v>3</v>
      </c>
      <c r="G265" s="8">
        <f t="shared" ca="1" si="39"/>
        <v>8418427</v>
      </c>
      <c r="H265" s="8">
        <f t="shared" ca="1" si="40"/>
        <v>25255281</v>
      </c>
      <c r="I265" s="8">
        <f t="shared" ca="1" si="41"/>
        <v>19951671.989999998</v>
      </c>
      <c r="J265" s="8">
        <f t="shared" ca="1" si="42"/>
        <v>5303609.0100000016</v>
      </c>
      <c r="K265" s="6">
        <f t="shared" ca="1" si="43"/>
        <v>0.21000000000000008</v>
      </c>
      <c r="L265" s="4" t="str" cm="1">
        <f t="array" aca="1" ref="L26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65" s="8">
        <f t="shared" ca="1" si="44"/>
        <v>18804</v>
      </c>
      <c r="N265" s="4" t="str" cm="1">
        <f t="array" aca="1" ref="N265" ca="1">INDEX({"New";"Repeat"}, RANDBETWEEN(1,2))</f>
        <v>New</v>
      </c>
      <c r="O265" s="4" t="str" cm="1">
        <f t="array" aca="1" ref="O265" ca="1">INDEX({"Loan";"Cash";"Lease"}, RANDBETWEEN(1,3))</f>
        <v>Lease</v>
      </c>
    </row>
    <row r="266" spans="1:15" x14ac:dyDescent="0.2">
      <c r="A266" s="4">
        <v>264</v>
      </c>
      <c r="B266" s="5">
        <f t="shared" ca="1" si="36"/>
        <v>45079</v>
      </c>
      <c r="C266" s="4" t="str" cm="1">
        <f t="array" aca="1" ref="C266" ca="1">INDEX({"Cochin";"Delhi";"Mumbai";"Pune";"Bengaluru"}, RANDBETWEEN(1,5))</f>
        <v>Bengaluru</v>
      </c>
      <c r="D266" s="4" t="str" cm="1">
        <f t="array" aca="1" ref="D266" ca="1">INDEX({"C-Class";"E-Class";"S-Class";"GLA";"GLC";"GLE";"GLS";"EQB"}, RANDBETWEEN(1,8))</f>
        <v>GLC</v>
      </c>
      <c r="E266" s="4" t="str">
        <f t="shared" ca="1" si="37"/>
        <v>SUV</v>
      </c>
      <c r="F266" s="4">
        <f t="shared" ca="1" si="38"/>
        <v>4</v>
      </c>
      <c r="G266" s="8">
        <f t="shared" ca="1" si="39"/>
        <v>6946791</v>
      </c>
      <c r="H266" s="8">
        <f t="shared" ca="1" si="40"/>
        <v>27787164</v>
      </c>
      <c r="I266" s="8">
        <f t="shared" ca="1" si="41"/>
        <v>21673987.920000002</v>
      </c>
      <c r="J266" s="8">
        <f t="shared" ca="1" si="42"/>
        <v>6113176.0799999982</v>
      </c>
      <c r="K266" s="6">
        <f t="shared" ca="1" si="43"/>
        <v>0.21999999999999995</v>
      </c>
      <c r="L266" s="4" t="str" cm="1">
        <f t="array" aca="1" ref="L26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66" s="8">
        <f t="shared" ca="1" si="44"/>
        <v>19163</v>
      </c>
      <c r="N266" s="4" t="str" cm="1">
        <f t="array" aca="1" ref="N266" ca="1">INDEX({"New";"Repeat"}, RANDBETWEEN(1,2))</f>
        <v>New</v>
      </c>
      <c r="O266" s="4" t="str" cm="1">
        <f t="array" aca="1" ref="O266" ca="1">INDEX({"Loan";"Cash";"Lease"}, RANDBETWEEN(1,3))</f>
        <v>Loan</v>
      </c>
    </row>
    <row r="267" spans="1:15" x14ac:dyDescent="0.2">
      <c r="A267" s="4">
        <v>265</v>
      </c>
      <c r="B267" s="5">
        <f t="shared" ca="1" si="36"/>
        <v>45899</v>
      </c>
      <c r="C267" s="4" t="str" cm="1">
        <f t="array" aca="1" ref="C267" ca="1">INDEX({"Cochin";"Delhi";"Mumbai";"Pune";"Bengaluru"}, RANDBETWEEN(1,5))</f>
        <v>Bengaluru</v>
      </c>
      <c r="D267" s="4" t="str" cm="1">
        <f t="array" aca="1" ref="D267" ca="1">INDEX({"C-Class";"E-Class";"S-Class";"GLA";"GLC";"GLE";"GLS";"EQB"}, RANDBETWEEN(1,8))</f>
        <v>GLS</v>
      </c>
      <c r="E267" s="4" t="str">
        <f t="shared" ca="1" si="37"/>
        <v>SUV</v>
      </c>
      <c r="F267" s="4">
        <f t="shared" ca="1" si="38"/>
        <v>3</v>
      </c>
      <c r="G267" s="8">
        <f t="shared" ca="1" si="39"/>
        <v>15373279</v>
      </c>
      <c r="H267" s="8">
        <f t="shared" ca="1" si="40"/>
        <v>46119837</v>
      </c>
      <c r="I267" s="8">
        <f t="shared" ca="1" si="41"/>
        <v>34589877.75</v>
      </c>
      <c r="J267" s="8">
        <f t="shared" ca="1" si="42"/>
        <v>11529959.25</v>
      </c>
      <c r="K267" s="6">
        <f t="shared" ca="1" si="43"/>
        <v>0.25</v>
      </c>
      <c r="L267" s="4" t="str" cm="1">
        <f t="array" aca="1" ref="L26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67" s="8">
        <f t="shared" ca="1" si="44"/>
        <v>4969</v>
      </c>
      <c r="N267" s="4" t="str" cm="1">
        <f t="array" aca="1" ref="N267" ca="1">INDEX({"New";"Repeat"}, RANDBETWEEN(1,2))</f>
        <v>Repeat</v>
      </c>
      <c r="O267" s="4" t="str" cm="1">
        <f t="array" aca="1" ref="O267" ca="1">INDEX({"Loan";"Cash";"Lease"}, RANDBETWEEN(1,3))</f>
        <v>Lease</v>
      </c>
    </row>
    <row r="268" spans="1:15" x14ac:dyDescent="0.2">
      <c r="A268" s="4">
        <v>266</v>
      </c>
      <c r="B268" s="5">
        <f t="shared" ca="1" si="36"/>
        <v>45606</v>
      </c>
      <c r="C268" s="4" t="str" cm="1">
        <f t="array" aca="1" ref="C268" ca="1">INDEX({"Cochin";"Delhi";"Mumbai";"Pune";"Bengaluru"}, RANDBETWEEN(1,5))</f>
        <v>Delhi</v>
      </c>
      <c r="D268" s="4" t="str" cm="1">
        <f t="array" aca="1" ref="D268" ca="1">INDEX({"C-Class";"E-Class";"S-Class";"GLA";"GLC";"GLE";"GLS";"EQB"}, RANDBETWEEN(1,8))</f>
        <v>GLC</v>
      </c>
      <c r="E268" s="4" t="str">
        <f t="shared" ca="1" si="37"/>
        <v>SUV</v>
      </c>
      <c r="F268" s="4">
        <f t="shared" ca="1" si="38"/>
        <v>2</v>
      </c>
      <c r="G268" s="8">
        <f t="shared" ca="1" si="39"/>
        <v>7240910</v>
      </c>
      <c r="H268" s="8">
        <f t="shared" ca="1" si="40"/>
        <v>14481820</v>
      </c>
      <c r="I268" s="8">
        <f t="shared" ca="1" si="41"/>
        <v>10282092.199999999</v>
      </c>
      <c r="J268" s="8">
        <f t="shared" ca="1" si="42"/>
        <v>4199727.8000000007</v>
      </c>
      <c r="K268" s="6">
        <f t="shared" ca="1" si="43"/>
        <v>0.29000000000000004</v>
      </c>
      <c r="L268" s="4" t="str" cm="1">
        <f t="array" aca="1" ref="L268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268" s="8">
        <f t="shared" ca="1" si="44"/>
        <v>21495</v>
      </c>
      <c r="N268" s="4" t="str" cm="1">
        <f t="array" aca="1" ref="N268" ca="1">INDEX({"New";"Repeat"}, RANDBETWEEN(1,2))</f>
        <v>New</v>
      </c>
      <c r="O268" s="4" t="str" cm="1">
        <f t="array" aca="1" ref="O268" ca="1">INDEX({"Loan";"Cash";"Lease"}, RANDBETWEEN(1,3))</f>
        <v>Cash</v>
      </c>
    </row>
    <row r="269" spans="1:15" x14ac:dyDescent="0.2">
      <c r="A269" s="4">
        <v>267</v>
      </c>
      <c r="B269" s="5">
        <f t="shared" ca="1" si="36"/>
        <v>45588</v>
      </c>
      <c r="C269" s="4" t="str" cm="1">
        <f t="array" aca="1" ref="C269" ca="1">INDEX({"Cochin";"Delhi";"Mumbai";"Pune";"Bengaluru"}, RANDBETWEEN(1,5))</f>
        <v>Delhi</v>
      </c>
      <c r="D269" s="4" t="str" cm="1">
        <f t="array" aca="1" ref="D269" ca="1">INDEX({"C-Class";"E-Class";"S-Class";"GLA";"GLC";"GLE";"GLS";"EQB"}, RANDBETWEEN(1,8))</f>
        <v>S-Class</v>
      </c>
      <c r="E269" s="4" t="str">
        <f t="shared" ca="1" si="37"/>
        <v>Sedan</v>
      </c>
      <c r="F269" s="4">
        <f t="shared" ca="1" si="38"/>
        <v>2</v>
      </c>
      <c r="G269" s="8">
        <f t="shared" ca="1" si="39"/>
        <v>17797086</v>
      </c>
      <c r="H269" s="8">
        <f t="shared" ca="1" si="40"/>
        <v>35594172</v>
      </c>
      <c r="I269" s="8">
        <f t="shared" ca="1" si="41"/>
        <v>25271862.120000001</v>
      </c>
      <c r="J269" s="8">
        <f t="shared" ca="1" si="42"/>
        <v>10322309.879999999</v>
      </c>
      <c r="K269" s="6">
        <f t="shared" ca="1" si="43"/>
        <v>0.28999999999999998</v>
      </c>
      <c r="L269" s="4" t="str" cm="1">
        <f t="array" aca="1" ref="L269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69" s="8">
        <f t="shared" ca="1" si="44"/>
        <v>5951</v>
      </c>
      <c r="N269" s="4" t="str" cm="1">
        <f t="array" aca="1" ref="N269" ca="1">INDEX({"New";"Repeat"}, RANDBETWEEN(1,2))</f>
        <v>Repeat</v>
      </c>
      <c r="O269" s="4" t="str" cm="1">
        <f t="array" aca="1" ref="O269" ca="1">INDEX({"Loan";"Cash";"Lease"}, RANDBETWEEN(1,3))</f>
        <v>Loan</v>
      </c>
    </row>
    <row r="270" spans="1:15" x14ac:dyDescent="0.2">
      <c r="A270" s="4">
        <v>268</v>
      </c>
      <c r="B270" s="5">
        <f t="shared" ca="1" si="36"/>
        <v>45089</v>
      </c>
      <c r="C270" s="4" t="str" cm="1">
        <f t="array" aca="1" ref="C270" ca="1">INDEX({"Cochin";"Delhi";"Mumbai";"Pune";"Bengaluru"}, RANDBETWEEN(1,5))</f>
        <v>Cochin</v>
      </c>
      <c r="D270" s="4" t="str" cm="1">
        <f t="array" aca="1" ref="D270" ca="1">INDEX({"C-Class";"E-Class";"S-Class";"GLA";"GLC";"GLE";"GLS";"EQB"}, RANDBETWEEN(1,8))</f>
        <v>GLA</v>
      </c>
      <c r="E270" s="4" t="str">
        <f t="shared" ca="1" si="37"/>
        <v>SUV</v>
      </c>
      <c r="F270" s="4">
        <f t="shared" ca="1" si="38"/>
        <v>2</v>
      </c>
      <c r="G270" s="8">
        <f t="shared" ca="1" si="39"/>
        <v>4707134</v>
      </c>
      <c r="H270" s="8">
        <f t="shared" ca="1" si="40"/>
        <v>9414268</v>
      </c>
      <c r="I270" s="8">
        <f t="shared" ca="1" si="41"/>
        <v>7531414.4000000004</v>
      </c>
      <c r="J270" s="8">
        <f t="shared" ca="1" si="42"/>
        <v>1882853.5999999996</v>
      </c>
      <c r="K270" s="6">
        <f t="shared" ca="1" si="43"/>
        <v>0.19999999999999996</v>
      </c>
      <c r="L270" s="4" t="str" cm="1">
        <f t="array" aca="1" ref="L27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70" s="8">
        <f t="shared" ca="1" si="44"/>
        <v>4397</v>
      </c>
      <c r="N270" s="4" t="str" cm="1">
        <f t="array" aca="1" ref="N270" ca="1">INDEX({"New";"Repeat"}, RANDBETWEEN(1,2))</f>
        <v>Repeat</v>
      </c>
      <c r="O270" s="4" t="str" cm="1">
        <f t="array" aca="1" ref="O270" ca="1">INDEX({"Loan";"Cash";"Lease"}, RANDBETWEEN(1,3))</f>
        <v>Loan</v>
      </c>
    </row>
    <row r="271" spans="1:15" x14ac:dyDescent="0.2">
      <c r="A271" s="4">
        <v>269</v>
      </c>
      <c r="B271" s="5">
        <f t="shared" ca="1" si="36"/>
        <v>45212</v>
      </c>
      <c r="C271" s="4" t="str" cm="1">
        <f t="array" aca="1" ref="C271" ca="1">INDEX({"Cochin";"Delhi";"Mumbai";"Pune";"Bengaluru"}, RANDBETWEEN(1,5))</f>
        <v>Delhi</v>
      </c>
      <c r="D271" s="4" t="str" cm="1">
        <f t="array" aca="1" ref="D271" ca="1">INDEX({"C-Class";"E-Class";"S-Class";"GLA";"GLC";"GLE";"GLS";"EQB"}, RANDBETWEEN(1,8))</f>
        <v>C-Class</v>
      </c>
      <c r="E271" s="4" t="str">
        <f t="shared" ca="1" si="37"/>
        <v>Sedan</v>
      </c>
      <c r="F271" s="4">
        <f t="shared" ca="1" si="38"/>
        <v>4</v>
      </c>
      <c r="G271" s="8">
        <f t="shared" ca="1" si="39"/>
        <v>6797492</v>
      </c>
      <c r="H271" s="8">
        <f t="shared" ca="1" si="40"/>
        <v>27189968</v>
      </c>
      <c r="I271" s="8">
        <f t="shared" ca="1" si="41"/>
        <v>20936275.359999999</v>
      </c>
      <c r="J271" s="8">
        <f t="shared" ca="1" si="42"/>
        <v>6253692.6400000006</v>
      </c>
      <c r="K271" s="6">
        <f t="shared" ca="1" si="43"/>
        <v>0.23</v>
      </c>
      <c r="L271" s="4" t="str" cm="1">
        <f t="array" aca="1" ref="L27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71" s="8">
        <f t="shared" ca="1" si="44"/>
        <v>5158</v>
      </c>
      <c r="N271" s="4" t="str" cm="1">
        <f t="array" aca="1" ref="N271" ca="1">INDEX({"New";"Repeat"}, RANDBETWEEN(1,2))</f>
        <v>Repeat</v>
      </c>
      <c r="O271" s="4" t="str" cm="1">
        <f t="array" aca="1" ref="O271" ca="1">INDEX({"Loan";"Cash";"Lease"}, RANDBETWEEN(1,3))</f>
        <v>Loan</v>
      </c>
    </row>
    <row r="272" spans="1:15" x14ac:dyDescent="0.2">
      <c r="A272" s="4">
        <v>270</v>
      </c>
      <c r="B272" s="5">
        <f t="shared" ca="1" si="36"/>
        <v>45597</v>
      </c>
      <c r="C272" s="4" t="str" cm="1">
        <f t="array" aca="1" ref="C272" ca="1">INDEX({"Cochin";"Delhi";"Mumbai";"Pune";"Bengaluru"}, RANDBETWEEN(1,5))</f>
        <v>Mumbai</v>
      </c>
      <c r="D272" s="4" t="str" cm="1">
        <f t="array" aca="1" ref="D272" ca="1">INDEX({"C-Class";"E-Class";"S-Class";"GLA";"GLC";"GLE";"GLS";"EQB"}, RANDBETWEEN(1,8))</f>
        <v>EQB</v>
      </c>
      <c r="E272" s="4" t="str">
        <f t="shared" ca="1" si="37"/>
        <v>EV</v>
      </c>
      <c r="F272" s="4">
        <f t="shared" ca="1" si="38"/>
        <v>4</v>
      </c>
      <c r="G272" s="8">
        <f t="shared" ca="1" si="39"/>
        <v>7636744</v>
      </c>
      <c r="H272" s="8">
        <f t="shared" ca="1" si="40"/>
        <v>30546976</v>
      </c>
      <c r="I272" s="8">
        <f t="shared" ca="1" si="41"/>
        <v>23215701.760000002</v>
      </c>
      <c r="J272" s="8">
        <f t="shared" ca="1" si="42"/>
        <v>7331274.2399999984</v>
      </c>
      <c r="K272" s="6">
        <f t="shared" ca="1" si="43"/>
        <v>0.23999999999999994</v>
      </c>
      <c r="L272" s="4" t="str" cm="1">
        <f t="array" aca="1" ref="L272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272" s="8">
        <f t="shared" ca="1" si="44"/>
        <v>7217</v>
      </c>
      <c r="N272" s="4" t="str" cm="1">
        <f t="array" aca="1" ref="N272" ca="1">INDEX({"New";"Repeat"}, RANDBETWEEN(1,2))</f>
        <v>Repeat</v>
      </c>
      <c r="O272" s="4" t="str" cm="1">
        <f t="array" aca="1" ref="O272" ca="1">INDEX({"Loan";"Cash";"Lease"}, RANDBETWEEN(1,3))</f>
        <v>Loan</v>
      </c>
    </row>
    <row r="273" spans="1:15" x14ac:dyDescent="0.2">
      <c r="A273" s="4">
        <v>271</v>
      </c>
      <c r="B273" s="5">
        <f t="shared" ca="1" si="36"/>
        <v>45008</v>
      </c>
      <c r="C273" s="4" t="str" cm="1">
        <f t="array" aca="1" ref="C273" ca="1">INDEX({"Cochin";"Delhi";"Mumbai";"Pune";"Bengaluru"}, RANDBETWEEN(1,5))</f>
        <v>Cochin</v>
      </c>
      <c r="D273" s="4" t="str" cm="1">
        <f t="array" aca="1" ref="D273" ca="1">INDEX({"C-Class";"E-Class";"S-Class";"GLA";"GLC";"GLE";"GLS";"EQB"}, RANDBETWEEN(1,8))</f>
        <v>GLA</v>
      </c>
      <c r="E273" s="4" t="str">
        <f t="shared" ca="1" si="37"/>
        <v>SUV</v>
      </c>
      <c r="F273" s="4">
        <f t="shared" ca="1" si="38"/>
        <v>5</v>
      </c>
      <c r="G273" s="8">
        <f t="shared" ca="1" si="39"/>
        <v>5350917</v>
      </c>
      <c r="H273" s="8">
        <f t="shared" ca="1" si="40"/>
        <v>26754585</v>
      </c>
      <c r="I273" s="8">
        <f t="shared" ca="1" si="41"/>
        <v>22741397.25</v>
      </c>
      <c r="J273" s="8">
        <f t="shared" ca="1" si="42"/>
        <v>4013187.75</v>
      </c>
      <c r="K273" s="6">
        <f t="shared" ca="1" si="43"/>
        <v>0.15</v>
      </c>
      <c r="L273" s="4" t="str" cm="1">
        <f t="array" aca="1" ref="L273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73" s="8">
        <f t="shared" ca="1" si="44"/>
        <v>15997</v>
      </c>
      <c r="N273" s="4" t="str" cm="1">
        <f t="array" aca="1" ref="N273" ca="1">INDEX({"New";"Repeat"}, RANDBETWEEN(1,2))</f>
        <v>New</v>
      </c>
      <c r="O273" s="4" t="str" cm="1">
        <f t="array" aca="1" ref="O273" ca="1">INDEX({"Loan";"Cash";"Lease"}, RANDBETWEEN(1,3))</f>
        <v>Cash</v>
      </c>
    </row>
    <row r="274" spans="1:15" x14ac:dyDescent="0.2">
      <c r="A274" s="4">
        <v>272</v>
      </c>
      <c r="B274" s="5">
        <f t="shared" ca="1" si="36"/>
        <v>45692</v>
      </c>
      <c r="C274" s="4" t="str" cm="1">
        <f t="array" aca="1" ref="C274" ca="1">INDEX({"Cochin";"Delhi";"Mumbai";"Pune";"Bengaluru"}, RANDBETWEEN(1,5))</f>
        <v>Bengaluru</v>
      </c>
      <c r="D274" s="4" t="str" cm="1">
        <f t="array" aca="1" ref="D274" ca="1">INDEX({"C-Class";"E-Class";"S-Class";"GLA";"GLC";"GLE";"GLS";"EQB"}, RANDBETWEEN(1,8))</f>
        <v>EQB</v>
      </c>
      <c r="E274" s="4" t="str">
        <f t="shared" ca="1" si="37"/>
        <v>EV</v>
      </c>
      <c r="F274" s="4">
        <f t="shared" ca="1" si="38"/>
        <v>3</v>
      </c>
      <c r="G274" s="8">
        <f t="shared" ca="1" si="39"/>
        <v>7855966</v>
      </c>
      <c r="H274" s="8">
        <f t="shared" ca="1" si="40"/>
        <v>23567898</v>
      </c>
      <c r="I274" s="8">
        <f t="shared" ca="1" si="41"/>
        <v>17204565.539999999</v>
      </c>
      <c r="J274" s="8">
        <f t="shared" ca="1" si="42"/>
        <v>6363332.4600000009</v>
      </c>
      <c r="K274" s="6">
        <f t="shared" ca="1" si="43"/>
        <v>0.27</v>
      </c>
      <c r="L274" s="4" t="str" cm="1">
        <f t="array" aca="1" ref="L27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74" s="8">
        <f t="shared" ca="1" si="44"/>
        <v>3859</v>
      </c>
      <c r="N274" s="4" t="str" cm="1">
        <f t="array" aca="1" ref="N274" ca="1">INDEX({"New";"Repeat"}, RANDBETWEEN(1,2))</f>
        <v>Repeat</v>
      </c>
      <c r="O274" s="4" t="str" cm="1">
        <f t="array" aca="1" ref="O274" ca="1">INDEX({"Loan";"Cash";"Lease"}, RANDBETWEEN(1,3))</f>
        <v>Loan</v>
      </c>
    </row>
    <row r="275" spans="1:15" x14ac:dyDescent="0.2">
      <c r="A275" s="4">
        <v>273</v>
      </c>
      <c r="B275" s="5">
        <f t="shared" ca="1" si="36"/>
        <v>45362</v>
      </c>
      <c r="C275" s="4" t="str" cm="1">
        <f t="array" aca="1" ref="C275" ca="1">INDEX({"Cochin";"Delhi";"Mumbai";"Pune";"Bengaluru"}, RANDBETWEEN(1,5))</f>
        <v>Delhi</v>
      </c>
      <c r="D275" s="4" t="str" cm="1">
        <f t="array" aca="1" ref="D275" ca="1">INDEX({"C-Class";"E-Class";"S-Class";"GLA";"GLC";"GLE";"GLS";"EQB"}, RANDBETWEEN(1,8))</f>
        <v>GLA</v>
      </c>
      <c r="E275" s="4" t="str">
        <f t="shared" ca="1" si="37"/>
        <v>SUV</v>
      </c>
      <c r="F275" s="4">
        <f t="shared" ca="1" si="38"/>
        <v>2</v>
      </c>
      <c r="G275" s="8">
        <f t="shared" ca="1" si="39"/>
        <v>5073379</v>
      </c>
      <c r="H275" s="8">
        <f t="shared" ca="1" si="40"/>
        <v>10146758</v>
      </c>
      <c r="I275" s="8">
        <f t="shared" ca="1" si="41"/>
        <v>7813003.6600000001</v>
      </c>
      <c r="J275" s="8">
        <f t="shared" ca="1" si="42"/>
        <v>2333754.34</v>
      </c>
      <c r="K275" s="6">
        <f t="shared" ca="1" si="43"/>
        <v>0.22999999999999998</v>
      </c>
      <c r="L275" s="4" t="str" cm="1">
        <f t="array" aca="1" ref="L275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75" s="8">
        <f t="shared" ca="1" si="44"/>
        <v>14730</v>
      </c>
      <c r="N275" s="4" t="str" cm="1">
        <f t="array" aca="1" ref="N275" ca="1">INDEX({"New";"Repeat"}, RANDBETWEEN(1,2))</f>
        <v>New</v>
      </c>
      <c r="O275" s="4" t="str" cm="1">
        <f t="array" aca="1" ref="O275" ca="1">INDEX({"Loan";"Cash";"Lease"}, RANDBETWEEN(1,3))</f>
        <v>Lease</v>
      </c>
    </row>
    <row r="276" spans="1:15" x14ac:dyDescent="0.2">
      <c r="A276" s="4">
        <v>274</v>
      </c>
      <c r="B276" s="5">
        <f t="shared" ca="1" si="36"/>
        <v>45832</v>
      </c>
      <c r="C276" s="4" t="str" cm="1">
        <f t="array" aca="1" ref="C276" ca="1">INDEX({"Cochin";"Delhi";"Mumbai";"Pune";"Bengaluru"}, RANDBETWEEN(1,5))</f>
        <v>Bengaluru</v>
      </c>
      <c r="D276" s="4" t="str" cm="1">
        <f t="array" aca="1" ref="D276" ca="1">INDEX({"C-Class";"E-Class";"S-Class";"GLA";"GLC";"GLE";"GLS";"EQB"}, RANDBETWEEN(1,8))</f>
        <v>E-Class</v>
      </c>
      <c r="E276" s="4" t="str">
        <f t="shared" ca="1" si="37"/>
        <v>Sedan</v>
      </c>
      <c r="F276" s="4">
        <f t="shared" ca="1" si="38"/>
        <v>5</v>
      </c>
      <c r="G276" s="8">
        <f t="shared" ca="1" si="39"/>
        <v>8026826</v>
      </c>
      <c r="H276" s="8">
        <f t="shared" ca="1" si="40"/>
        <v>40134130</v>
      </c>
      <c r="I276" s="8">
        <f t="shared" ca="1" si="41"/>
        <v>32508645.300000001</v>
      </c>
      <c r="J276" s="8">
        <f t="shared" ca="1" si="42"/>
        <v>7625484.6999999993</v>
      </c>
      <c r="K276" s="6">
        <f t="shared" ca="1" si="43"/>
        <v>0.18999999999999997</v>
      </c>
      <c r="L276" s="4" t="str" cm="1">
        <f t="array" aca="1" ref="L276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76" s="8">
        <f t="shared" ca="1" si="44"/>
        <v>14362</v>
      </c>
      <c r="N276" s="4" t="str" cm="1">
        <f t="array" aca="1" ref="N276" ca="1">INDEX({"New";"Repeat"}, RANDBETWEEN(1,2))</f>
        <v>New</v>
      </c>
      <c r="O276" s="4" t="str" cm="1">
        <f t="array" aca="1" ref="O276" ca="1">INDEX({"Loan";"Cash";"Lease"}, RANDBETWEEN(1,3))</f>
        <v>Lease</v>
      </c>
    </row>
    <row r="277" spans="1:15" x14ac:dyDescent="0.2">
      <c r="A277" s="4">
        <v>275</v>
      </c>
      <c r="B277" s="5">
        <f t="shared" ca="1" si="36"/>
        <v>44939</v>
      </c>
      <c r="C277" s="4" t="str" cm="1">
        <f t="array" aca="1" ref="C277" ca="1">INDEX({"Cochin";"Delhi";"Mumbai";"Pune";"Bengaluru"}, RANDBETWEEN(1,5))</f>
        <v>Bengaluru</v>
      </c>
      <c r="D277" s="4" t="str" cm="1">
        <f t="array" aca="1" ref="D277" ca="1">INDEX({"C-Class";"E-Class";"S-Class";"GLA";"GLC";"GLE";"GLS";"EQB"}, RANDBETWEEN(1,8))</f>
        <v>C-Class</v>
      </c>
      <c r="E277" s="4" t="str">
        <f t="shared" ca="1" si="37"/>
        <v>Sedan</v>
      </c>
      <c r="F277" s="4">
        <f t="shared" ca="1" si="38"/>
        <v>4</v>
      </c>
      <c r="G277" s="8">
        <f t="shared" ca="1" si="39"/>
        <v>5886445</v>
      </c>
      <c r="H277" s="8">
        <f t="shared" ca="1" si="40"/>
        <v>23545780</v>
      </c>
      <c r="I277" s="8">
        <f t="shared" ca="1" si="41"/>
        <v>16952961.600000001</v>
      </c>
      <c r="J277" s="8">
        <f t="shared" ca="1" si="42"/>
        <v>6592818.3999999985</v>
      </c>
      <c r="K277" s="6">
        <f t="shared" ca="1" si="43"/>
        <v>0.27999999999999992</v>
      </c>
      <c r="L277" s="4" t="str" cm="1">
        <f t="array" aca="1" ref="L27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277" s="8">
        <f t="shared" ca="1" si="44"/>
        <v>20545</v>
      </c>
      <c r="N277" s="4" t="str" cm="1">
        <f t="array" aca="1" ref="N277" ca="1">INDEX({"New";"Repeat"}, RANDBETWEEN(1,2))</f>
        <v>New</v>
      </c>
      <c r="O277" s="4" t="str" cm="1">
        <f t="array" aca="1" ref="O277" ca="1">INDEX({"Loan";"Cash";"Lease"}, RANDBETWEEN(1,3))</f>
        <v>Cash</v>
      </c>
    </row>
    <row r="278" spans="1:15" x14ac:dyDescent="0.2">
      <c r="A278" s="4">
        <v>276</v>
      </c>
      <c r="B278" s="5">
        <f t="shared" ca="1" si="36"/>
        <v>45883</v>
      </c>
      <c r="C278" s="4" t="str" cm="1">
        <f t="array" aca="1" ref="C278" ca="1">INDEX({"Cochin";"Delhi";"Mumbai";"Pune";"Bengaluru"}, RANDBETWEEN(1,5))</f>
        <v>Cochin</v>
      </c>
      <c r="D278" s="4" t="str" cm="1">
        <f t="array" aca="1" ref="D278" ca="1">INDEX({"C-Class";"E-Class";"S-Class";"GLA";"GLC";"GLE";"GLS";"EQB"}, RANDBETWEEN(1,8))</f>
        <v>GLA</v>
      </c>
      <c r="E278" s="4" t="str">
        <f t="shared" ca="1" si="37"/>
        <v>SUV</v>
      </c>
      <c r="F278" s="4">
        <f t="shared" ca="1" si="38"/>
        <v>5</v>
      </c>
      <c r="G278" s="8">
        <f t="shared" ca="1" si="39"/>
        <v>4898592</v>
      </c>
      <c r="H278" s="8">
        <f t="shared" ca="1" si="40"/>
        <v>24492960</v>
      </c>
      <c r="I278" s="8">
        <f t="shared" ca="1" si="41"/>
        <v>18859579.199999999</v>
      </c>
      <c r="J278" s="8">
        <f t="shared" ca="1" si="42"/>
        <v>5633380.8000000007</v>
      </c>
      <c r="K278" s="6">
        <f t="shared" ca="1" si="43"/>
        <v>0.23000000000000004</v>
      </c>
      <c r="L278" s="4" t="str" cm="1">
        <f t="array" aca="1" ref="L278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278" s="8">
        <f t="shared" ca="1" si="44"/>
        <v>5036</v>
      </c>
      <c r="N278" s="4" t="str" cm="1">
        <f t="array" aca="1" ref="N278" ca="1">INDEX({"New";"Repeat"}, RANDBETWEEN(1,2))</f>
        <v>Repeat</v>
      </c>
      <c r="O278" s="4" t="str" cm="1">
        <f t="array" aca="1" ref="O278" ca="1">INDEX({"Loan";"Cash";"Lease"}, RANDBETWEEN(1,3))</f>
        <v>Cash</v>
      </c>
    </row>
    <row r="279" spans="1:15" x14ac:dyDescent="0.2">
      <c r="A279" s="4">
        <v>277</v>
      </c>
      <c r="B279" s="5">
        <f t="shared" ca="1" si="36"/>
        <v>44953</v>
      </c>
      <c r="C279" s="4" t="str" cm="1">
        <f t="array" aca="1" ref="C279" ca="1">INDEX({"Cochin";"Delhi";"Mumbai";"Pune";"Bengaluru"}, RANDBETWEEN(1,5))</f>
        <v>Delhi</v>
      </c>
      <c r="D279" s="4" t="str" cm="1">
        <f t="array" aca="1" ref="D279" ca="1">INDEX({"C-Class";"E-Class";"S-Class";"GLA";"GLC";"GLE";"GLS";"EQB"}, RANDBETWEEN(1,8))</f>
        <v>S-Class</v>
      </c>
      <c r="E279" s="4" t="str">
        <f t="shared" ca="1" si="37"/>
        <v>Sedan</v>
      </c>
      <c r="F279" s="4">
        <f t="shared" ca="1" si="38"/>
        <v>1</v>
      </c>
      <c r="G279" s="8">
        <f t="shared" ca="1" si="39"/>
        <v>16800713</v>
      </c>
      <c r="H279" s="8">
        <f t="shared" ca="1" si="40"/>
        <v>16800713</v>
      </c>
      <c r="I279" s="8">
        <f t="shared" ca="1" si="41"/>
        <v>13440570.4</v>
      </c>
      <c r="J279" s="8">
        <f t="shared" ca="1" si="42"/>
        <v>3360142.5999999996</v>
      </c>
      <c r="K279" s="6">
        <f t="shared" ca="1" si="43"/>
        <v>0.19999999999999998</v>
      </c>
      <c r="L279" s="4" t="str" cm="1">
        <f t="array" aca="1" ref="L27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79" s="8">
        <f t="shared" ca="1" si="44"/>
        <v>4920</v>
      </c>
      <c r="N279" s="4" t="str" cm="1">
        <f t="array" aca="1" ref="N279" ca="1">INDEX({"New";"Repeat"}, RANDBETWEEN(1,2))</f>
        <v>Repeat</v>
      </c>
      <c r="O279" s="4" t="str" cm="1">
        <f t="array" aca="1" ref="O279" ca="1">INDEX({"Loan";"Cash";"Lease"}, RANDBETWEEN(1,3))</f>
        <v>Lease</v>
      </c>
    </row>
    <row r="280" spans="1:15" x14ac:dyDescent="0.2">
      <c r="A280" s="4">
        <v>278</v>
      </c>
      <c r="B280" s="5">
        <f t="shared" ca="1" si="36"/>
        <v>45263</v>
      </c>
      <c r="C280" s="4" t="str" cm="1">
        <f t="array" aca="1" ref="C280" ca="1">INDEX({"Cochin";"Delhi";"Mumbai";"Pune";"Bengaluru"}, RANDBETWEEN(1,5))</f>
        <v>Pune</v>
      </c>
      <c r="D280" s="4" t="str" cm="1">
        <f t="array" aca="1" ref="D280" ca="1">INDEX({"C-Class";"E-Class";"S-Class";"GLA";"GLC";"GLE";"GLS";"EQB"}, RANDBETWEEN(1,8))</f>
        <v>GLA</v>
      </c>
      <c r="E280" s="4" t="str">
        <f t="shared" ca="1" si="37"/>
        <v>SUV</v>
      </c>
      <c r="F280" s="4">
        <f t="shared" ca="1" si="38"/>
        <v>3</v>
      </c>
      <c r="G280" s="8">
        <f t="shared" ca="1" si="39"/>
        <v>4851921</v>
      </c>
      <c r="H280" s="8">
        <f t="shared" ca="1" si="40"/>
        <v>14555763</v>
      </c>
      <c r="I280" s="8">
        <f t="shared" ca="1" si="41"/>
        <v>10334591.73</v>
      </c>
      <c r="J280" s="8">
        <f t="shared" ca="1" si="42"/>
        <v>4221171.2699999996</v>
      </c>
      <c r="K280" s="6">
        <f t="shared" ca="1" si="43"/>
        <v>0.28999999999999998</v>
      </c>
      <c r="L280" s="4" t="str" cm="1">
        <f t="array" aca="1" ref="L28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280" s="8">
        <f t="shared" ca="1" si="44"/>
        <v>7928</v>
      </c>
      <c r="N280" s="4" t="str" cm="1">
        <f t="array" aca="1" ref="N280" ca="1">INDEX({"New";"Repeat"}, RANDBETWEEN(1,2))</f>
        <v>Repeat</v>
      </c>
      <c r="O280" s="4" t="str" cm="1">
        <f t="array" aca="1" ref="O280" ca="1">INDEX({"Loan";"Cash";"Lease"}, RANDBETWEEN(1,3))</f>
        <v>Loan</v>
      </c>
    </row>
    <row r="281" spans="1:15" x14ac:dyDescent="0.2">
      <c r="A281" s="4">
        <v>279</v>
      </c>
      <c r="B281" s="5">
        <f t="shared" ca="1" si="36"/>
        <v>45704</v>
      </c>
      <c r="C281" s="4" t="str" cm="1">
        <f t="array" aca="1" ref="C281" ca="1">INDEX({"Cochin";"Delhi";"Mumbai";"Pune";"Bengaluru"}, RANDBETWEEN(1,5))</f>
        <v>Pune</v>
      </c>
      <c r="D281" s="4" t="str" cm="1">
        <f t="array" aca="1" ref="D281" ca="1">INDEX({"C-Class";"E-Class";"S-Class";"GLA";"GLC";"GLE";"GLS";"EQB"}, RANDBETWEEN(1,8))</f>
        <v>GLE</v>
      </c>
      <c r="E281" s="4" t="str">
        <f t="shared" ca="1" si="37"/>
        <v>SUV</v>
      </c>
      <c r="F281" s="4">
        <f t="shared" ca="1" si="38"/>
        <v>2</v>
      </c>
      <c r="G281" s="8">
        <f t="shared" ca="1" si="39"/>
        <v>12860175</v>
      </c>
      <c r="H281" s="8">
        <f t="shared" ca="1" si="40"/>
        <v>25720350</v>
      </c>
      <c r="I281" s="8">
        <f t="shared" ca="1" si="41"/>
        <v>18261448.5</v>
      </c>
      <c r="J281" s="8">
        <f t="shared" ca="1" si="42"/>
        <v>7458901.5</v>
      </c>
      <c r="K281" s="6">
        <f t="shared" ca="1" si="43"/>
        <v>0.28999999999999998</v>
      </c>
      <c r="L281" s="4" t="str" cm="1">
        <f t="array" aca="1" ref="L28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81" s="8">
        <f t="shared" ca="1" si="44"/>
        <v>17326</v>
      </c>
      <c r="N281" s="4" t="str" cm="1">
        <f t="array" aca="1" ref="N281" ca="1">INDEX({"New";"Repeat"}, RANDBETWEEN(1,2))</f>
        <v>New</v>
      </c>
      <c r="O281" s="4" t="str" cm="1">
        <f t="array" aca="1" ref="O281" ca="1">INDEX({"Loan";"Cash";"Lease"}, RANDBETWEEN(1,3))</f>
        <v>Lease</v>
      </c>
    </row>
    <row r="282" spans="1:15" x14ac:dyDescent="0.2">
      <c r="A282" s="4">
        <v>280</v>
      </c>
      <c r="B282" s="5">
        <f t="shared" ca="1" si="36"/>
        <v>45412</v>
      </c>
      <c r="C282" s="4" t="str" cm="1">
        <f t="array" aca="1" ref="C282" ca="1">INDEX({"Cochin";"Delhi";"Mumbai";"Pune";"Bengaluru"}, RANDBETWEEN(1,5))</f>
        <v>Delhi</v>
      </c>
      <c r="D282" s="4" t="str" cm="1">
        <f t="array" aca="1" ref="D282" ca="1">INDEX({"C-Class";"E-Class";"S-Class";"GLA";"GLC";"GLE";"GLS";"EQB"}, RANDBETWEEN(1,8))</f>
        <v>EQB</v>
      </c>
      <c r="E282" s="4" t="str">
        <f t="shared" ca="1" si="37"/>
        <v>EV</v>
      </c>
      <c r="F282" s="4">
        <f t="shared" ca="1" si="38"/>
        <v>2</v>
      </c>
      <c r="G282" s="8">
        <f t="shared" ca="1" si="39"/>
        <v>7218240</v>
      </c>
      <c r="H282" s="8">
        <f t="shared" ca="1" si="40"/>
        <v>14436480</v>
      </c>
      <c r="I282" s="8">
        <f t="shared" ca="1" si="41"/>
        <v>10394265.6</v>
      </c>
      <c r="J282" s="8">
        <f t="shared" ca="1" si="42"/>
        <v>4042214.4000000004</v>
      </c>
      <c r="K282" s="6">
        <f t="shared" ca="1" si="43"/>
        <v>0.28000000000000003</v>
      </c>
      <c r="L282" s="4" t="str" cm="1">
        <f t="array" aca="1" ref="L282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282" s="8">
        <f t="shared" ca="1" si="44"/>
        <v>24492</v>
      </c>
      <c r="N282" s="4" t="str" cm="1">
        <f t="array" aca="1" ref="N282" ca="1">INDEX({"New";"Repeat"}, RANDBETWEEN(1,2))</f>
        <v>New</v>
      </c>
      <c r="O282" s="4" t="str" cm="1">
        <f t="array" aca="1" ref="O282" ca="1">INDEX({"Loan";"Cash";"Lease"}, RANDBETWEEN(1,3))</f>
        <v>Cash</v>
      </c>
    </row>
    <row r="283" spans="1:15" x14ac:dyDescent="0.2">
      <c r="A283" s="4">
        <v>281</v>
      </c>
      <c r="B283" s="5">
        <f t="shared" ca="1" si="36"/>
        <v>45041</v>
      </c>
      <c r="C283" s="4" t="str" cm="1">
        <f t="array" aca="1" ref="C283" ca="1">INDEX({"Cochin";"Delhi";"Mumbai";"Pune";"Bengaluru"}, RANDBETWEEN(1,5))</f>
        <v>Mumbai</v>
      </c>
      <c r="D283" s="4" t="str" cm="1">
        <f t="array" aca="1" ref="D283" ca="1">INDEX({"C-Class";"E-Class";"S-Class";"GLA";"GLC";"GLE";"GLS";"EQB"}, RANDBETWEEN(1,8))</f>
        <v>GLA</v>
      </c>
      <c r="E283" s="4" t="str">
        <f t="shared" ca="1" si="37"/>
        <v>SUV</v>
      </c>
      <c r="F283" s="4">
        <f t="shared" ca="1" si="38"/>
        <v>4</v>
      </c>
      <c r="G283" s="8">
        <f t="shared" ca="1" si="39"/>
        <v>4568284</v>
      </c>
      <c r="H283" s="8">
        <f t="shared" ca="1" si="40"/>
        <v>18273136</v>
      </c>
      <c r="I283" s="8">
        <f t="shared" ca="1" si="41"/>
        <v>14070314.720000001</v>
      </c>
      <c r="J283" s="8">
        <f t="shared" ca="1" si="42"/>
        <v>4202821.2799999993</v>
      </c>
      <c r="K283" s="6">
        <f t="shared" ca="1" si="43"/>
        <v>0.22999999999999995</v>
      </c>
      <c r="L283" s="4" t="str" cm="1">
        <f t="array" aca="1" ref="L283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83" s="8">
        <f t="shared" ca="1" si="44"/>
        <v>13994</v>
      </c>
      <c r="N283" s="4" t="str" cm="1">
        <f t="array" aca="1" ref="N283" ca="1">INDEX({"New";"Repeat"}, RANDBETWEEN(1,2))</f>
        <v>New</v>
      </c>
      <c r="O283" s="4" t="str" cm="1">
        <f t="array" aca="1" ref="O283" ca="1">INDEX({"Loan";"Cash";"Lease"}, RANDBETWEEN(1,3))</f>
        <v>Loan</v>
      </c>
    </row>
    <row r="284" spans="1:15" x14ac:dyDescent="0.2">
      <c r="A284" s="4">
        <v>282</v>
      </c>
      <c r="B284" s="5">
        <f t="shared" ca="1" si="36"/>
        <v>45625</v>
      </c>
      <c r="C284" s="4" t="str" cm="1">
        <f t="array" aca="1" ref="C284" ca="1">INDEX({"Cochin";"Delhi";"Mumbai";"Pune";"Bengaluru"}, RANDBETWEEN(1,5))</f>
        <v>Bengaluru</v>
      </c>
      <c r="D284" s="4" t="str" cm="1">
        <f t="array" aca="1" ref="D284" ca="1">INDEX({"C-Class";"E-Class";"S-Class";"GLA";"GLC";"GLE";"GLS";"EQB"}, RANDBETWEEN(1,8))</f>
        <v>E-Class</v>
      </c>
      <c r="E284" s="4" t="str">
        <f t="shared" ca="1" si="37"/>
        <v>Sedan</v>
      </c>
      <c r="F284" s="4">
        <f t="shared" ca="1" si="38"/>
        <v>2</v>
      </c>
      <c r="G284" s="8">
        <f t="shared" ca="1" si="39"/>
        <v>8904247</v>
      </c>
      <c r="H284" s="8">
        <f t="shared" ca="1" si="40"/>
        <v>17808494</v>
      </c>
      <c r="I284" s="8">
        <f t="shared" ca="1" si="41"/>
        <v>14246795.199999999</v>
      </c>
      <c r="J284" s="8">
        <f t="shared" ca="1" si="42"/>
        <v>3561698.8000000007</v>
      </c>
      <c r="K284" s="6">
        <f t="shared" ca="1" si="43"/>
        <v>0.20000000000000004</v>
      </c>
      <c r="L284" s="4" t="str" cm="1">
        <f t="array" aca="1" ref="L28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284" s="8">
        <f t="shared" ca="1" si="44"/>
        <v>24980</v>
      </c>
      <c r="N284" s="4" t="str" cm="1">
        <f t="array" aca="1" ref="N284" ca="1">INDEX({"New";"Repeat"}, RANDBETWEEN(1,2))</f>
        <v>New</v>
      </c>
      <c r="O284" s="4" t="str" cm="1">
        <f t="array" aca="1" ref="O284" ca="1">INDEX({"Loan";"Cash";"Lease"}, RANDBETWEEN(1,3))</f>
        <v>Loan</v>
      </c>
    </row>
    <row r="285" spans="1:15" x14ac:dyDescent="0.2">
      <c r="A285" s="4">
        <v>283</v>
      </c>
      <c r="B285" s="5">
        <f t="shared" ca="1" si="36"/>
        <v>45272</v>
      </c>
      <c r="C285" s="4" t="str" cm="1">
        <f t="array" aca="1" ref="C285" ca="1">INDEX({"Cochin";"Delhi";"Mumbai";"Pune";"Bengaluru"}, RANDBETWEEN(1,5))</f>
        <v>Delhi</v>
      </c>
      <c r="D285" s="4" t="str" cm="1">
        <f t="array" aca="1" ref="D285" ca="1">INDEX({"C-Class";"E-Class";"S-Class";"GLA";"GLC";"GLE";"GLS";"EQB"}, RANDBETWEEN(1,8))</f>
        <v>EQB</v>
      </c>
      <c r="E285" s="4" t="str">
        <f t="shared" ca="1" si="37"/>
        <v>EV</v>
      </c>
      <c r="F285" s="4">
        <f t="shared" ca="1" si="38"/>
        <v>1</v>
      </c>
      <c r="G285" s="8">
        <f t="shared" ca="1" si="39"/>
        <v>7707612</v>
      </c>
      <c r="H285" s="8">
        <f t="shared" ca="1" si="40"/>
        <v>7707612</v>
      </c>
      <c r="I285" s="8">
        <f t="shared" ca="1" si="41"/>
        <v>5549480.6399999997</v>
      </c>
      <c r="J285" s="8">
        <f t="shared" ca="1" si="42"/>
        <v>2158131.3600000003</v>
      </c>
      <c r="K285" s="6">
        <f t="shared" ca="1" si="43"/>
        <v>0.28000000000000003</v>
      </c>
      <c r="L285" s="4" t="str" cm="1">
        <f t="array" aca="1" ref="L28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285" s="8">
        <f t="shared" ca="1" si="44"/>
        <v>19316</v>
      </c>
      <c r="N285" s="4" t="str" cm="1">
        <f t="array" aca="1" ref="N285" ca="1">INDEX({"New";"Repeat"}, RANDBETWEEN(1,2))</f>
        <v>New</v>
      </c>
      <c r="O285" s="4" t="str" cm="1">
        <f t="array" aca="1" ref="O285" ca="1">INDEX({"Loan";"Cash";"Lease"}, RANDBETWEEN(1,3))</f>
        <v>Loan</v>
      </c>
    </row>
    <row r="286" spans="1:15" x14ac:dyDescent="0.2">
      <c r="A286" s="4">
        <v>284</v>
      </c>
      <c r="B286" s="5">
        <f t="shared" ca="1" si="36"/>
        <v>45108</v>
      </c>
      <c r="C286" s="4" t="str" cm="1">
        <f t="array" aca="1" ref="C286" ca="1">INDEX({"Cochin";"Delhi";"Mumbai";"Pune";"Bengaluru"}, RANDBETWEEN(1,5))</f>
        <v>Delhi</v>
      </c>
      <c r="D286" s="4" t="str" cm="1">
        <f t="array" aca="1" ref="D286" ca="1">INDEX({"C-Class";"E-Class";"S-Class";"GLA";"GLC";"GLE";"GLS";"EQB"}, RANDBETWEEN(1,8))</f>
        <v>GLC</v>
      </c>
      <c r="E286" s="4" t="str">
        <f t="shared" ca="1" si="37"/>
        <v>SUV</v>
      </c>
      <c r="F286" s="4">
        <f t="shared" ca="1" si="38"/>
        <v>5</v>
      </c>
      <c r="G286" s="8">
        <f t="shared" ca="1" si="39"/>
        <v>7265737</v>
      </c>
      <c r="H286" s="8">
        <f t="shared" ca="1" si="40"/>
        <v>36328685</v>
      </c>
      <c r="I286" s="8">
        <f t="shared" ca="1" si="41"/>
        <v>27246513.75</v>
      </c>
      <c r="J286" s="8">
        <f t="shared" ca="1" si="42"/>
        <v>9082171.25</v>
      </c>
      <c r="K286" s="6">
        <f t="shared" ca="1" si="43"/>
        <v>0.25</v>
      </c>
      <c r="L286" s="4" t="str" cm="1">
        <f t="array" aca="1" ref="L28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286" s="8">
        <f t="shared" ca="1" si="44"/>
        <v>6711</v>
      </c>
      <c r="N286" s="4" t="str" cm="1">
        <f t="array" aca="1" ref="N286" ca="1">INDEX({"New";"Repeat"}, RANDBETWEEN(1,2))</f>
        <v>Repeat</v>
      </c>
      <c r="O286" s="4" t="str" cm="1">
        <f t="array" aca="1" ref="O286" ca="1">INDEX({"Loan";"Cash";"Lease"}, RANDBETWEEN(1,3))</f>
        <v>Cash</v>
      </c>
    </row>
    <row r="287" spans="1:15" x14ac:dyDescent="0.2">
      <c r="A287" s="4">
        <v>285</v>
      </c>
      <c r="B287" s="5">
        <f t="shared" ca="1" si="36"/>
        <v>45876</v>
      </c>
      <c r="C287" s="4" t="str" cm="1">
        <f t="array" aca="1" ref="C287" ca="1">INDEX({"Cochin";"Delhi";"Mumbai";"Pune";"Bengaluru"}, RANDBETWEEN(1,5))</f>
        <v>Delhi</v>
      </c>
      <c r="D287" s="4" t="str" cm="1">
        <f t="array" aca="1" ref="D287" ca="1">INDEX({"C-Class";"E-Class";"S-Class";"GLA";"GLC";"GLE";"GLS";"EQB"}, RANDBETWEEN(1,8))</f>
        <v>GLS</v>
      </c>
      <c r="E287" s="4" t="str">
        <f t="shared" ca="1" si="37"/>
        <v>SUV</v>
      </c>
      <c r="F287" s="4">
        <f t="shared" ca="1" si="38"/>
        <v>1</v>
      </c>
      <c r="G287" s="8">
        <f t="shared" ca="1" si="39"/>
        <v>16476739</v>
      </c>
      <c r="H287" s="8">
        <f t="shared" ca="1" si="40"/>
        <v>16476739</v>
      </c>
      <c r="I287" s="8">
        <f t="shared" ca="1" si="41"/>
        <v>14005228.15</v>
      </c>
      <c r="J287" s="8">
        <f t="shared" ca="1" si="42"/>
        <v>2471510.8499999996</v>
      </c>
      <c r="K287" s="6">
        <f t="shared" ca="1" si="43"/>
        <v>0.14999999999999997</v>
      </c>
      <c r="L287" s="4" t="str" cm="1">
        <f t="array" aca="1" ref="L287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87" s="8">
        <f t="shared" ca="1" si="44"/>
        <v>5084</v>
      </c>
      <c r="N287" s="4" t="str" cm="1">
        <f t="array" aca="1" ref="N287" ca="1">INDEX({"New";"Repeat"}, RANDBETWEEN(1,2))</f>
        <v>Repeat</v>
      </c>
      <c r="O287" s="4" t="str" cm="1">
        <f t="array" aca="1" ref="O287" ca="1">INDEX({"Loan";"Cash";"Lease"}, RANDBETWEEN(1,3))</f>
        <v>Cash</v>
      </c>
    </row>
    <row r="288" spans="1:15" x14ac:dyDescent="0.2">
      <c r="A288" s="4">
        <v>286</v>
      </c>
      <c r="B288" s="5">
        <f t="shared" ca="1" si="36"/>
        <v>45468</v>
      </c>
      <c r="C288" s="4" t="str" cm="1">
        <f t="array" aca="1" ref="C288" ca="1">INDEX({"Cochin";"Delhi";"Mumbai";"Pune";"Bengaluru"}, RANDBETWEEN(1,5))</f>
        <v>Delhi</v>
      </c>
      <c r="D288" s="4" t="str" cm="1">
        <f t="array" aca="1" ref="D288" ca="1">INDEX({"C-Class";"E-Class";"S-Class";"GLA";"GLC";"GLE";"GLS";"EQB"}, RANDBETWEEN(1,8))</f>
        <v>EQB</v>
      </c>
      <c r="E288" s="4" t="str">
        <f t="shared" ca="1" si="37"/>
        <v>EV</v>
      </c>
      <c r="F288" s="4">
        <f t="shared" ca="1" si="38"/>
        <v>5</v>
      </c>
      <c r="G288" s="8">
        <f t="shared" ca="1" si="39"/>
        <v>7916193</v>
      </c>
      <c r="H288" s="8">
        <f t="shared" ca="1" si="40"/>
        <v>39580965</v>
      </c>
      <c r="I288" s="8">
        <f t="shared" ca="1" si="41"/>
        <v>28102485.149999999</v>
      </c>
      <c r="J288" s="8">
        <f t="shared" ca="1" si="42"/>
        <v>11478479.850000001</v>
      </c>
      <c r="K288" s="6">
        <f t="shared" ca="1" si="43"/>
        <v>0.29000000000000004</v>
      </c>
      <c r="L288" s="4" t="str" cm="1">
        <f t="array" aca="1" ref="L28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88" s="8">
        <f t="shared" ca="1" si="44"/>
        <v>6276</v>
      </c>
      <c r="N288" s="4" t="str" cm="1">
        <f t="array" aca="1" ref="N288" ca="1">INDEX({"New";"Repeat"}, RANDBETWEEN(1,2))</f>
        <v>Repeat</v>
      </c>
      <c r="O288" s="4" t="str" cm="1">
        <f t="array" aca="1" ref="O288" ca="1">INDEX({"Loan";"Cash";"Lease"}, RANDBETWEEN(1,3))</f>
        <v>Loan</v>
      </c>
    </row>
    <row r="289" spans="1:15" x14ac:dyDescent="0.2">
      <c r="A289" s="4">
        <v>287</v>
      </c>
      <c r="B289" s="5">
        <f t="shared" ca="1" si="36"/>
        <v>45006</v>
      </c>
      <c r="C289" s="4" t="str" cm="1">
        <f t="array" aca="1" ref="C289" ca="1">INDEX({"Cochin";"Delhi";"Mumbai";"Pune";"Bengaluru"}, RANDBETWEEN(1,5))</f>
        <v>Delhi</v>
      </c>
      <c r="D289" s="4" t="str" cm="1">
        <f t="array" aca="1" ref="D289" ca="1">INDEX({"C-Class";"E-Class";"S-Class";"GLA";"GLC";"GLE";"GLS";"EQB"}, RANDBETWEEN(1,8))</f>
        <v>EQB</v>
      </c>
      <c r="E289" s="4" t="str">
        <f t="shared" ca="1" si="37"/>
        <v>EV</v>
      </c>
      <c r="F289" s="4">
        <f t="shared" ca="1" si="38"/>
        <v>4</v>
      </c>
      <c r="G289" s="8">
        <f t="shared" ca="1" si="39"/>
        <v>7899392</v>
      </c>
      <c r="H289" s="8">
        <f t="shared" ca="1" si="40"/>
        <v>31597568</v>
      </c>
      <c r="I289" s="8">
        <f t="shared" ca="1" si="41"/>
        <v>22434273.280000001</v>
      </c>
      <c r="J289" s="8">
        <f t="shared" ca="1" si="42"/>
        <v>9163294.7199999988</v>
      </c>
      <c r="K289" s="6">
        <f t="shared" ca="1" si="43"/>
        <v>0.28999999999999998</v>
      </c>
      <c r="L289" s="4" t="str" cm="1">
        <f t="array" aca="1" ref="L28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89" s="8">
        <f t="shared" ca="1" si="44"/>
        <v>18960</v>
      </c>
      <c r="N289" s="4" t="str" cm="1">
        <f t="array" aca="1" ref="N289" ca="1">INDEX({"New";"Repeat"}, RANDBETWEEN(1,2))</f>
        <v>New</v>
      </c>
      <c r="O289" s="4" t="str" cm="1">
        <f t="array" aca="1" ref="O289" ca="1">INDEX({"Loan";"Cash";"Lease"}, RANDBETWEEN(1,3))</f>
        <v>Loan</v>
      </c>
    </row>
    <row r="290" spans="1:15" x14ac:dyDescent="0.2">
      <c r="A290" s="4">
        <v>288</v>
      </c>
      <c r="B290" s="5">
        <f t="shared" ca="1" si="36"/>
        <v>45863</v>
      </c>
      <c r="C290" s="4" t="str" cm="1">
        <f t="array" aca="1" ref="C290" ca="1">INDEX({"Cochin";"Delhi";"Mumbai";"Pune";"Bengaluru"}, RANDBETWEEN(1,5))</f>
        <v>Delhi</v>
      </c>
      <c r="D290" s="4" t="str" cm="1">
        <f t="array" aca="1" ref="D290" ca="1">INDEX({"C-Class";"E-Class";"S-Class";"GLA";"GLC";"GLE";"GLS";"EQB"}, RANDBETWEEN(1,8))</f>
        <v>E-Class</v>
      </c>
      <c r="E290" s="4" t="str">
        <f t="shared" ca="1" si="37"/>
        <v>Sedan</v>
      </c>
      <c r="F290" s="4">
        <f t="shared" ca="1" si="38"/>
        <v>5</v>
      </c>
      <c r="G290" s="8">
        <f t="shared" ca="1" si="39"/>
        <v>8717981</v>
      </c>
      <c r="H290" s="8">
        <f t="shared" ca="1" si="40"/>
        <v>43589905</v>
      </c>
      <c r="I290" s="8">
        <f t="shared" ca="1" si="41"/>
        <v>35743722.100000001</v>
      </c>
      <c r="J290" s="8">
        <f t="shared" ca="1" si="42"/>
        <v>7846182.8999999985</v>
      </c>
      <c r="K290" s="6">
        <f t="shared" ca="1" si="43"/>
        <v>0.17999999999999997</v>
      </c>
      <c r="L290" s="4" t="str" cm="1">
        <f t="array" aca="1" ref="L29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290" s="8">
        <f t="shared" ca="1" si="44"/>
        <v>6051</v>
      </c>
      <c r="N290" s="4" t="str" cm="1">
        <f t="array" aca="1" ref="N290" ca="1">INDEX({"New";"Repeat"}, RANDBETWEEN(1,2))</f>
        <v>Repeat</v>
      </c>
      <c r="O290" s="4" t="str" cm="1">
        <f t="array" aca="1" ref="O290" ca="1">INDEX({"Loan";"Cash";"Lease"}, RANDBETWEEN(1,3))</f>
        <v>Cash</v>
      </c>
    </row>
    <row r="291" spans="1:15" x14ac:dyDescent="0.2">
      <c r="A291" s="4">
        <v>289</v>
      </c>
      <c r="B291" s="5">
        <f t="shared" ca="1" si="36"/>
        <v>45482</v>
      </c>
      <c r="C291" s="4" t="str" cm="1">
        <f t="array" aca="1" ref="C291" ca="1">INDEX({"Cochin";"Delhi";"Mumbai";"Pune";"Bengaluru"}, RANDBETWEEN(1,5))</f>
        <v>Bengaluru</v>
      </c>
      <c r="D291" s="4" t="str" cm="1">
        <f t="array" aca="1" ref="D291" ca="1">INDEX({"C-Class";"E-Class";"S-Class";"GLA";"GLC";"GLE";"GLS";"EQB"}, RANDBETWEEN(1,8))</f>
        <v>C-Class</v>
      </c>
      <c r="E291" s="4" t="str">
        <f t="shared" ca="1" si="37"/>
        <v>Sedan</v>
      </c>
      <c r="F291" s="4">
        <f t="shared" ca="1" si="38"/>
        <v>1</v>
      </c>
      <c r="G291" s="8">
        <f t="shared" ca="1" si="39"/>
        <v>6254704</v>
      </c>
      <c r="H291" s="8">
        <f t="shared" ca="1" si="40"/>
        <v>6254704</v>
      </c>
      <c r="I291" s="8">
        <f t="shared" ca="1" si="41"/>
        <v>5003763.2</v>
      </c>
      <c r="J291" s="8">
        <f t="shared" ca="1" si="42"/>
        <v>1250940.7999999998</v>
      </c>
      <c r="K291" s="6">
        <f t="shared" ca="1" si="43"/>
        <v>0.19999999999999998</v>
      </c>
      <c r="L291" s="4" t="str" cm="1">
        <f t="array" aca="1" ref="L29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291" s="8">
        <f t="shared" ca="1" si="44"/>
        <v>7665</v>
      </c>
      <c r="N291" s="4" t="str" cm="1">
        <f t="array" aca="1" ref="N291" ca="1">INDEX({"New";"Repeat"}, RANDBETWEEN(1,2))</f>
        <v>Repeat</v>
      </c>
      <c r="O291" s="4" t="str" cm="1">
        <f t="array" aca="1" ref="O291" ca="1">INDEX({"Loan";"Cash";"Lease"}, RANDBETWEEN(1,3))</f>
        <v>Cash</v>
      </c>
    </row>
    <row r="292" spans="1:15" x14ac:dyDescent="0.2">
      <c r="A292" s="4">
        <v>290</v>
      </c>
      <c r="B292" s="5">
        <f t="shared" ca="1" si="36"/>
        <v>45740</v>
      </c>
      <c r="C292" s="4" t="str" cm="1">
        <f t="array" aca="1" ref="C292" ca="1">INDEX({"Cochin";"Delhi";"Mumbai";"Pune";"Bengaluru"}, RANDBETWEEN(1,5))</f>
        <v>Delhi</v>
      </c>
      <c r="D292" s="4" t="str" cm="1">
        <f t="array" aca="1" ref="D292" ca="1">INDEX({"C-Class";"E-Class";"S-Class";"GLA";"GLC";"GLE";"GLS";"EQB"}, RANDBETWEEN(1,8))</f>
        <v>GLE</v>
      </c>
      <c r="E292" s="4" t="str">
        <f t="shared" ca="1" si="37"/>
        <v>SUV</v>
      </c>
      <c r="F292" s="4">
        <f t="shared" ca="1" si="38"/>
        <v>4</v>
      </c>
      <c r="G292" s="8">
        <f t="shared" ca="1" si="39"/>
        <v>9844552</v>
      </c>
      <c r="H292" s="8">
        <f t="shared" ca="1" si="40"/>
        <v>39378208</v>
      </c>
      <c r="I292" s="8">
        <f t="shared" ca="1" si="41"/>
        <v>27564745.600000001</v>
      </c>
      <c r="J292" s="8">
        <f t="shared" ca="1" si="42"/>
        <v>11813462.399999999</v>
      </c>
      <c r="K292" s="6">
        <f t="shared" ca="1" si="43"/>
        <v>0.3</v>
      </c>
      <c r="L292" s="4" t="str" cm="1">
        <f t="array" aca="1" ref="L29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292" s="8">
        <f t="shared" ca="1" si="44"/>
        <v>7251</v>
      </c>
      <c r="N292" s="4" t="str" cm="1">
        <f t="array" aca="1" ref="N292" ca="1">INDEX({"New";"Repeat"}, RANDBETWEEN(1,2))</f>
        <v>Repeat</v>
      </c>
      <c r="O292" s="4" t="str" cm="1">
        <f t="array" aca="1" ref="O292" ca="1">INDEX({"Loan";"Cash";"Lease"}, RANDBETWEEN(1,3))</f>
        <v>Lease</v>
      </c>
    </row>
    <row r="293" spans="1:15" x14ac:dyDescent="0.2">
      <c r="A293" s="4">
        <v>291</v>
      </c>
      <c r="B293" s="5">
        <f t="shared" ca="1" si="36"/>
        <v>45103</v>
      </c>
      <c r="C293" s="4" t="str" cm="1">
        <f t="array" aca="1" ref="C293" ca="1">INDEX({"Cochin";"Delhi";"Mumbai";"Pune";"Bengaluru"}, RANDBETWEEN(1,5))</f>
        <v>Cochin</v>
      </c>
      <c r="D293" s="4" t="str" cm="1">
        <f t="array" aca="1" ref="D293" ca="1">INDEX({"C-Class";"E-Class";"S-Class";"GLA";"GLC";"GLE";"GLS";"EQB"}, RANDBETWEEN(1,8))</f>
        <v>GLE</v>
      </c>
      <c r="E293" s="4" t="str">
        <f t="shared" ca="1" si="37"/>
        <v>SUV</v>
      </c>
      <c r="F293" s="4">
        <f t="shared" ca="1" si="38"/>
        <v>3</v>
      </c>
      <c r="G293" s="8">
        <f t="shared" ca="1" si="39"/>
        <v>10950319</v>
      </c>
      <c r="H293" s="8">
        <f t="shared" ca="1" si="40"/>
        <v>32850957</v>
      </c>
      <c r="I293" s="8">
        <f t="shared" ca="1" si="41"/>
        <v>23652689.039999999</v>
      </c>
      <c r="J293" s="8">
        <f t="shared" ca="1" si="42"/>
        <v>9198267.9600000009</v>
      </c>
      <c r="K293" s="6">
        <f t="shared" ca="1" si="43"/>
        <v>0.28000000000000003</v>
      </c>
      <c r="L293" s="4" t="str" cm="1">
        <f t="array" aca="1" ref="L293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93" s="8">
        <f t="shared" ca="1" si="44"/>
        <v>4666</v>
      </c>
      <c r="N293" s="4" t="str" cm="1">
        <f t="array" aca="1" ref="N293" ca="1">INDEX({"New";"Repeat"}, RANDBETWEEN(1,2))</f>
        <v>Repeat</v>
      </c>
      <c r="O293" s="4" t="str" cm="1">
        <f t="array" aca="1" ref="O293" ca="1">INDEX({"Loan";"Cash";"Lease"}, RANDBETWEEN(1,3))</f>
        <v>Lease</v>
      </c>
    </row>
    <row r="294" spans="1:15" x14ac:dyDescent="0.2">
      <c r="A294" s="4">
        <v>292</v>
      </c>
      <c r="B294" s="5">
        <f t="shared" ca="1" si="36"/>
        <v>45518</v>
      </c>
      <c r="C294" s="4" t="str" cm="1">
        <f t="array" aca="1" ref="C294" ca="1">INDEX({"Cochin";"Delhi";"Mumbai";"Pune";"Bengaluru"}, RANDBETWEEN(1,5))</f>
        <v>Mumbai</v>
      </c>
      <c r="D294" s="4" t="str" cm="1">
        <f t="array" aca="1" ref="D294" ca="1">INDEX({"C-Class";"E-Class";"S-Class";"GLA";"GLC";"GLE";"GLS";"EQB"}, RANDBETWEEN(1,8))</f>
        <v>GLE</v>
      </c>
      <c r="E294" s="4" t="str">
        <f t="shared" ca="1" si="37"/>
        <v>SUV</v>
      </c>
      <c r="F294" s="4">
        <f t="shared" ca="1" si="38"/>
        <v>1</v>
      </c>
      <c r="G294" s="8">
        <f t="shared" ca="1" si="39"/>
        <v>12019673</v>
      </c>
      <c r="H294" s="8">
        <f t="shared" ca="1" si="40"/>
        <v>12019673</v>
      </c>
      <c r="I294" s="8">
        <f t="shared" ca="1" si="41"/>
        <v>10096525.32</v>
      </c>
      <c r="J294" s="8">
        <f t="shared" ca="1" si="42"/>
        <v>1923147.6799999997</v>
      </c>
      <c r="K294" s="6">
        <f t="shared" ca="1" si="43"/>
        <v>0.15999999999999998</v>
      </c>
      <c r="L294" s="4" t="str" cm="1">
        <f t="array" aca="1" ref="L29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294" s="8">
        <f t="shared" ca="1" si="44"/>
        <v>7758</v>
      </c>
      <c r="N294" s="4" t="str" cm="1">
        <f t="array" aca="1" ref="N294" ca="1">INDEX({"New";"Repeat"}, RANDBETWEEN(1,2))</f>
        <v>Repeat</v>
      </c>
      <c r="O294" s="4" t="str" cm="1">
        <f t="array" aca="1" ref="O294" ca="1">INDEX({"Loan";"Cash";"Lease"}, RANDBETWEEN(1,3))</f>
        <v>Loan</v>
      </c>
    </row>
    <row r="295" spans="1:15" x14ac:dyDescent="0.2">
      <c r="A295" s="4">
        <v>293</v>
      </c>
      <c r="B295" s="5">
        <f t="shared" ca="1" si="36"/>
        <v>45257</v>
      </c>
      <c r="C295" s="4" t="str" cm="1">
        <f t="array" aca="1" ref="C295" ca="1">INDEX({"Cochin";"Delhi";"Mumbai";"Pune";"Bengaluru"}, RANDBETWEEN(1,5))</f>
        <v>Delhi</v>
      </c>
      <c r="D295" s="4" t="str" cm="1">
        <f t="array" aca="1" ref="D295" ca="1">INDEX({"C-Class";"E-Class";"S-Class";"GLA";"GLC";"GLE";"GLS";"EQB"}, RANDBETWEEN(1,8))</f>
        <v>E-Class</v>
      </c>
      <c r="E295" s="4" t="str">
        <f t="shared" ca="1" si="37"/>
        <v>Sedan</v>
      </c>
      <c r="F295" s="4">
        <f t="shared" ca="1" si="38"/>
        <v>3</v>
      </c>
      <c r="G295" s="8">
        <f t="shared" ca="1" si="39"/>
        <v>8415512</v>
      </c>
      <c r="H295" s="8">
        <f t="shared" ca="1" si="40"/>
        <v>25246536</v>
      </c>
      <c r="I295" s="8">
        <f t="shared" ca="1" si="41"/>
        <v>20197228.800000001</v>
      </c>
      <c r="J295" s="8">
        <f t="shared" ca="1" si="42"/>
        <v>5049307.1999999993</v>
      </c>
      <c r="K295" s="6">
        <f t="shared" ca="1" si="43"/>
        <v>0.19999999999999998</v>
      </c>
      <c r="L295" s="4" t="str" cm="1">
        <f t="array" aca="1" ref="L295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95" s="8">
        <f t="shared" ca="1" si="44"/>
        <v>19304</v>
      </c>
      <c r="N295" s="4" t="str" cm="1">
        <f t="array" aca="1" ref="N295" ca="1">INDEX({"New";"Repeat"}, RANDBETWEEN(1,2))</f>
        <v>New</v>
      </c>
      <c r="O295" s="4" t="str" cm="1">
        <f t="array" aca="1" ref="O295" ca="1">INDEX({"Loan";"Cash";"Lease"}, RANDBETWEEN(1,3))</f>
        <v>Cash</v>
      </c>
    </row>
    <row r="296" spans="1:15" x14ac:dyDescent="0.2">
      <c r="A296" s="4">
        <v>294</v>
      </c>
      <c r="B296" s="5">
        <f t="shared" ca="1" si="36"/>
        <v>45769</v>
      </c>
      <c r="C296" s="4" t="str" cm="1">
        <f t="array" aca="1" ref="C296" ca="1">INDEX({"Cochin";"Delhi";"Mumbai";"Pune";"Bengaluru"}, RANDBETWEEN(1,5))</f>
        <v>Cochin</v>
      </c>
      <c r="D296" s="4" t="str" cm="1">
        <f t="array" aca="1" ref="D296" ca="1">INDEX({"C-Class";"E-Class";"S-Class";"GLA";"GLC";"GLE";"GLS";"EQB"}, RANDBETWEEN(1,8))</f>
        <v>E-Class</v>
      </c>
      <c r="E296" s="4" t="str">
        <f t="shared" ca="1" si="37"/>
        <v>Sedan</v>
      </c>
      <c r="F296" s="4">
        <f t="shared" ca="1" si="38"/>
        <v>4</v>
      </c>
      <c r="G296" s="8">
        <f t="shared" ca="1" si="39"/>
        <v>8756887</v>
      </c>
      <c r="H296" s="8">
        <f t="shared" ca="1" si="40"/>
        <v>35027548</v>
      </c>
      <c r="I296" s="8">
        <f t="shared" ca="1" si="41"/>
        <v>28372313.879999999</v>
      </c>
      <c r="J296" s="8">
        <f t="shared" ca="1" si="42"/>
        <v>6655234.120000001</v>
      </c>
      <c r="K296" s="6">
        <f t="shared" ca="1" si="43"/>
        <v>0.19000000000000003</v>
      </c>
      <c r="L296" s="4" t="str" cm="1">
        <f t="array" aca="1" ref="L29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296" s="8">
        <f t="shared" ca="1" si="44"/>
        <v>7797</v>
      </c>
      <c r="N296" s="4" t="str" cm="1">
        <f t="array" aca="1" ref="N296" ca="1">INDEX({"New";"Repeat"}, RANDBETWEEN(1,2))</f>
        <v>Repeat</v>
      </c>
      <c r="O296" s="4" t="str" cm="1">
        <f t="array" aca="1" ref="O296" ca="1">INDEX({"Loan";"Cash";"Lease"}, RANDBETWEEN(1,3))</f>
        <v>Lease</v>
      </c>
    </row>
    <row r="297" spans="1:15" x14ac:dyDescent="0.2">
      <c r="A297" s="4">
        <v>295</v>
      </c>
      <c r="B297" s="5">
        <f t="shared" ca="1" si="36"/>
        <v>44957</v>
      </c>
      <c r="C297" s="4" t="str" cm="1">
        <f t="array" aca="1" ref="C297" ca="1">INDEX({"Cochin";"Delhi";"Mumbai";"Pune";"Bengaluru"}, RANDBETWEEN(1,5))</f>
        <v>Bengaluru</v>
      </c>
      <c r="D297" s="4" t="str" cm="1">
        <f t="array" aca="1" ref="D297" ca="1">INDEX({"C-Class";"E-Class";"S-Class";"GLA";"GLC";"GLE";"GLS";"EQB"}, RANDBETWEEN(1,8))</f>
        <v>S-Class</v>
      </c>
      <c r="E297" s="4" t="str">
        <f t="shared" ca="1" si="37"/>
        <v>Sedan</v>
      </c>
      <c r="F297" s="4">
        <f t="shared" ca="1" si="38"/>
        <v>4</v>
      </c>
      <c r="G297" s="8">
        <f t="shared" ca="1" si="39"/>
        <v>17717967</v>
      </c>
      <c r="H297" s="8">
        <f t="shared" ca="1" si="40"/>
        <v>70871868</v>
      </c>
      <c r="I297" s="8">
        <f t="shared" ca="1" si="41"/>
        <v>50319026.280000001</v>
      </c>
      <c r="J297" s="8">
        <f t="shared" ca="1" si="42"/>
        <v>20552841.719999999</v>
      </c>
      <c r="K297" s="6">
        <f t="shared" ca="1" si="43"/>
        <v>0.28999999999999998</v>
      </c>
      <c r="L297" s="4" t="str" cm="1">
        <f t="array" aca="1" ref="L29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297" s="8">
        <f t="shared" ca="1" si="44"/>
        <v>3201</v>
      </c>
      <c r="N297" s="4" t="str" cm="1">
        <f t="array" aca="1" ref="N297" ca="1">INDEX({"New";"Repeat"}, RANDBETWEEN(1,2))</f>
        <v>Repeat</v>
      </c>
      <c r="O297" s="4" t="str" cm="1">
        <f t="array" aca="1" ref="O297" ca="1">INDEX({"Loan";"Cash";"Lease"}, RANDBETWEEN(1,3))</f>
        <v>Cash</v>
      </c>
    </row>
    <row r="298" spans="1:15" x14ac:dyDescent="0.2">
      <c r="A298" s="4">
        <v>296</v>
      </c>
      <c r="B298" s="5">
        <f t="shared" ca="1" si="36"/>
        <v>45696</v>
      </c>
      <c r="C298" s="4" t="str" cm="1">
        <f t="array" aca="1" ref="C298" ca="1">INDEX({"Cochin";"Delhi";"Mumbai";"Pune";"Bengaluru"}, RANDBETWEEN(1,5))</f>
        <v>Pune</v>
      </c>
      <c r="D298" s="4" t="str" cm="1">
        <f t="array" aca="1" ref="D298" ca="1">INDEX({"C-Class";"E-Class";"S-Class";"GLA";"GLC";"GLE";"GLS";"EQB"}, RANDBETWEEN(1,8))</f>
        <v>GLS</v>
      </c>
      <c r="E298" s="4" t="str">
        <f t="shared" ca="1" si="37"/>
        <v>SUV</v>
      </c>
      <c r="F298" s="4">
        <f t="shared" ca="1" si="38"/>
        <v>4</v>
      </c>
      <c r="G298" s="8">
        <f t="shared" ca="1" si="39"/>
        <v>15111850</v>
      </c>
      <c r="H298" s="8">
        <f t="shared" ca="1" si="40"/>
        <v>60447400</v>
      </c>
      <c r="I298" s="8">
        <f t="shared" ca="1" si="41"/>
        <v>42313180</v>
      </c>
      <c r="J298" s="8">
        <f t="shared" ca="1" si="42"/>
        <v>18134220</v>
      </c>
      <c r="K298" s="6">
        <f t="shared" ca="1" si="43"/>
        <v>0.3</v>
      </c>
      <c r="L298" s="4" t="str" cm="1">
        <f t="array" aca="1" ref="L29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98" s="8">
        <f t="shared" ca="1" si="44"/>
        <v>6050</v>
      </c>
      <c r="N298" s="4" t="str" cm="1">
        <f t="array" aca="1" ref="N298" ca="1">INDEX({"New";"Repeat"}, RANDBETWEEN(1,2))</f>
        <v>Repeat</v>
      </c>
      <c r="O298" s="4" t="str" cm="1">
        <f t="array" aca="1" ref="O298" ca="1">INDEX({"Loan";"Cash";"Lease"}, RANDBETWEEN(1,3))</f>
        <v>Lease</v>
      </c>
    </row>
    <row r="299" spans="1:15" x14ac:dyDescent="0.2">
      <c r="A299" s="4">
        <v>297</v>
      </c>
      <c r="B299" s="5">
        <f t="shared" ca="1" si="36"/>
        <v>45746</v>
      </c>
      <c r="C299" s="4" t="str" cm="1">
        <f t="array" aca="1" ref="C299" ca="1">INDEX({"Cochin";"Delhi";"Mumbai";"Pune";"Bengaluru"}, RANDBETWEEN(1,5))</f>
        <v>Mumbai</v>
      </c>
      <c r="D299" s="4" t="str" cm="1">
        <f t="array" aca="1" ref="D299" ca="1">INDEX({"C-Class";"E-Class";"S-Class";"GLA";"GLC";"GLE";"GLS";"EQB"}, RANDBETWEEN(1,8))</f>
        <v>EQB</v>
      </c>
      <c r="E299" s="4" t="str">
        <f t="shared" ca="1" si="37"/>
        <v>EV</v>
      </c>
      <c r="F299" s="4">
        <f t="shared" ca="1" si="38"/>
        <v>4</v>
      </c>
      <c r="G299" s="8">
        <f t="shared" ca="1" si="39"/>
        <v>7192484</v>
      </c>
      <c r="H299" s="8">
        <f t="shared" ca="1" si="40"/>
        <v>28769936</v>
      </c>
      <c r="I299" s="8">
        <f t="shared" ca="1" si="41"/>
        <v>23303648.16</v>
      </c>
      <c r="J299" s="8">
        <f t="shared" ca="1" si="42"/>
        <v>5466287.8399999999</v>
      </c>
      <c r="K299" s="6">
        <f t="shared" ca="1" si="43"/>
        <v>0.19</v>
      </c>
      <c r="L299" s="4" t="str" cm="1">
        <f t="array" aca="1" ref="L29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299" s="8">
        <f t="shared" ca="1" si="44"/>
        <v>7055</v>
      </c>
      <c r="N299" s="4" t="str" cm="1">
        <f t="array" aca="1" ref="N299" ca="1">INDEX({"New";"Repeat"}, RANDBETWEEN(1,2))</f>
        <v>Repeat</v>
      </c>
      <c r="O299" s="4" t="str" cm="1">
        <f t="array" aca="1" ref="O299" ca="1">INDEX({"Loan";"Cash";"Lease"}, RANDBETWEEN(1,3))</f>
        <v>Cash</v>
      </c>
    </row>
    <row r="300" spans="1:15" x14ac:dyDescent="0.2">
      <c r="A300" s="4">
        <v>298</v>
      </c>
      <c r="B300" s="5">
        <f t="shared" ca="1" si="36"/>
        <v>45529</v>
      </c>
      <c r="C300" s="4" t="str" cm="1">
        <f t="array" aca="1" ref="C300" ca="1">INDEX({"Cochin";"Delhi";"Mumbai";"Pune";"Bengaluru"}, RANDBETWEEN(1,5))</f>
        <v>Pune</v>
      </c>
      <c r="D300" s="4" t="str" cm="1">
        <f t="array" aca="1" ref="D300" ca="1">INDEX({"C-Class";"E-Class";"S-Class";"GLA";"GLC";"GLE";"GLS";"EQB"}, RANDBETWEEN(1,8))</f>
        <v>C-Class</v>
      </c>
      <c r="E300" s="4" t="str">
        <f t="shared" ca="1" si="37"/>
        <v>Sedan</v>
      </c>
      <c r="F300" s="4">
        <f t="shared" ca="1" si="38"/>
        <v>3</v>
      </c>
      <c r="G300" s="8">
        <f t="shared" ca="1" si="39"/>
        <v>6369777</v>
      </c>
      <c r="H300" s="8">
        <f t="shared" ca="1" si="40"/>
        <v>19109331</v>
      </c>
      <c r="I300" s="8">
        <f t="shared" ca="1" si="41"/>
        <v>15860744.73</v>
      </c>
      <c r="J300" s="8">
        <f t="shared" ca="1" si="42"/>
        <v>3248586.2699999996</v>
      </c>
      <c r="K300" s="6">
        <f t="shared" ca="1" si="43"/>
        <v>0.16999999999999998</v>
      </c>
      <c r="L300" s="4" t="str" cm="1">
        <f t="array" aca="1" ref="L30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300" s="8">
        <f t="shared" ca="1" si="44"/>
        <v>17198</v>
      </c>
      <c r="N300" s="4" t="str" cm="1">
        <f t="array" aca="1" ref="N300" ca="1">INDEX({"New";"Repeat"}, RANDBETWEEN(1,2))</f>
        <v>New</v>
      </c>
      <c r="O300" s="4" t="str" cm="1">
        <f t="array" aca="1" ref="O300" ca="1">INDEX({"Loan";"Cash";"Lease"}, RANDBETWEEN(1,3))</f>
        <v>Loan</v>
      </c>
    </row>
    <row r="301" spans="1:15" x14ac:dyDescent="0.2">
      <c r="A301" s="4">
        <v>299</v>
      </c>
      <c r="B301" s="5">
        <f t="shared" ca="1" si="36"/>
        <v>45681</v>
      </c>
      <c r="C301" s="4" t="str" cm="1">
        <f t="array" aca="1" ref="C301" ca="1">INDEX({"Cochin";"Delhi";"Mumbai";"Pune";"Bengaluru"}, RANDBETWEEN(1,5))</f>
        <v>Bengaluru</v>
      </c>
      <c r="D301" s="4" t="str" cm="1">
        <f t="array" aca="1" ref="D301" ca="1">INDEX({"C-Class";"E-Class";"S-Class";"GLA";"GLC";"GLE";"GLS";"EQB"}, RANDBETWEEN(1,8))</f>
        <v>GLA</v>
      </c>
      <c r="E301" s="4" t="str">
        <f t="shared" ca="1" si="37"/>
        <v>SUV</v>
      </c>
      <c r="F301" s="4">
        <f t="shared" ca="1" si="38"/>
        <v>3</v>
      </c>
      <c r="G301" s="8">
        <f t="shared" ca="1" si="39"/>
        <v>4547694</v>
      </c>
      <c r="H301" s="8">
        <f t="shared" ca="1" si="40"/>
        <v>13643082</v>
      </c>
      <c r="I301" s="8">
        <f t="shared" ca="1" si="41"/>
        <v>11596619.699999999</v>
      </c>
      <c r="J301" s="8">
        <f t="shared" ca="1" si="42"/>
        <v>2046462.3000000007</v>
      </c>
      <c r="K301" s="6">
        <f t="shared" ca="1" si="43"/>
        <v>0.15000000000000005</v>
      </c>
      <c r="L301" s="4" t="str" cm="1">
        <f t="array" aca="1" ref="L30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01" s="8">
        <f t="shared" ca="1" si="44"/>
        <v>5922</v>
      </c>
      <c r="N301" s="4" t="str" cm="1">
        <f t="array" aca="1" ref="N301" ca="1">INDEX({"New";"Repeat"}, RANDBETWEEN(1,2))</f>
        <v>Repeat</v>
      </c>
      <c r="O301" s="4" t="str" cm="1">
        <f t="array" aca="1" ref="O301" ca="1">INDEX({"Loan";"Cash";"Lease"}, RANDBETWEEN(1,3))</f>
        <v>Lease</v>
      </c>
    </row>
    <row r="302" spans="1:15" x14ac:dyDescent="0.2">
      <c r="A302" s="4">
        <v>300</v>
      </c>
      <c r="B302" s="5">
        <f t="shared" ca="1" si="36"/>
        <v>45391</v>
      </c>
      <c r="C302" s="4" t="str" cm="1">
        <f t="array" aca="1" ref="C302" ca="1">INDEX({"Cochin";"Delhi";"Mumbai";"Pune";"Bengaluru"}, RANDBETWEEN(1,5))</f>
        <v>Delhi</v>
      </c>
      <c r="D302" s="4" t="str" cm="1">
        <f t="array" aca="1" ref="D302" ca="1">INDEX({"C-Class";"E-Class";"S-Class";"GLA";"GLC";"GLE";"GLS";"EQB"}, RANDBETWEEN(1,8))</f>
        <v>E-Class</v>
      </c>
      <c r="E302" s="4" t="str">
        <f t="shared" ca="1" si="37"/>
        <v>Sedan</v>
      </c>
      <c r="F302" s="4">
        <f t="shared" ca="1" si="38"/>
        <v>3</v>
      </c>
      <c r="G302" s="8">
        <f t="shared" ca="1" si="39"/>
        <v>9061167</v>
      </c>
      <c r="H302" s="8">
        <f t="shared" ca="1" si="40"/>
        <v>27183501</v>
      </c>
      <c r="I302" s="8">
        <f t="shared" ca="1" si="41"/>
        <v>22018635.809999999</v>
      </c>
      <c r="J302" s="8">
        <f t="shared" ca="1" si="42"/>
        <v>5164865.1900000013</v>
      </c>
      <c r="K302" s="6">
        <f t="shared" ca="1" si="43"/>
        <v>0.19000000000000006</v>
      </c>
      <c r="L302" s="4" t="str" cm="1">
        <f t="array" aca="1" ref="L30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02" s="8">
        <f t="shared" ca="1" si="44"/>
        <v>20366</v>
      </c>
      <c r="N302" s="4" t="str" cm="1">
        <f t="array" aca="1" ref="N302" ca="1">INDEX({"New";"Repeat"}, RANDBETWEEN(1,2))</f>
        <v>New</v>
      </c>
      <c r="O302" s="4" t="str" cm="1">
        <f t="array" aca="1" ref="O302" ca="1">INDEX({"Loan";"Cash";"Lease"}, RANDBETWEEN(1,3))</f>
        <v>Loan</v>
      </c>
    </row>
    <row r="303" spans="1:15" x14ac:dyDescent="0.2">
      <c r="A303" s="4">
        <v>301</v>
      </c>
      <c r="B303" s="5">
        <f t="shared" ca="1" si="36"/>
        <v>45561</v>
      </c>
      <c r="C303" s="4" t="str" cm="1">
        <f t="array" aca="1" ref="C303" ca="1">INDEX({"Cochin";"Delhi";"Mumbai";"Pune";"Bengaluru"}, RANDBETWEEN(1,5))</f>
        <v>Pune</v>
      </c>
      <c r="D303" s="4" t="str" cm="1">
        <f t="array" aca="1" ref="D303" ca="1">INDEX({"C-Class";"E-Class";"S-Class";"GLA";"GLC";"GLE";"GLS";"EQB"}, RANDBETWEEN(1,8))</f>
        <v>E-Class</v>
      </c>
      <c r="E303" s="4" t="str">
        <f t="shared" ca="1" si="37"/>
        <v>Sedan</v>
      </c>
      <c r="F303" s="4">
        <f t="shared" ca="1" si="38"/>
        <v>5</v>
      </c>
      <c r="G303" s="8">
        <f t="shared" ca="1" si="39"/>
        <v>7946360</v>
      </c>
      <c r="H303" s="8">
        <f t="shared" ca="1" si="40"/>
        <v>39731800</v>
      </c>
      <c r="I303" s="8">
        <f t="shared" ca="1" si="41"/>
        <v>29401532</v>
      </c>
      <c r="J303" s="8">
        <f t="shared" ca="1" si="42"/>
        <v>10330268</v>
      </c>
      <c r="K303" s="6">
        <f t="shared" ca="1" si="43"/>
        <v>0.26</v>
      </c>
      <c r="L303" s="4" t="str" cm="1">
        <f t="array" aca="1" ref="L30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03" s="8">
        <f t="shared" ca="1" si="44"/>
        <v>13694</v>
      </c>
      <c r="N303" s="4" t="str" cm="1">
        <f t="array" aca="1" ref="N303" ca="1">INDEX({"New";"Repeat"}, RANDBETWEEN(1,2))</f>
        <v>New</v>
      </c>
      <c r="O303" s="4" t="str" cm="1">
        <f t="array" aca="1" ref="O303" ca="1">INDEX({"Loan";"Cash";"Lease"}, RANDBETWEEN(1,3))</f>
        <v>Lease</v>
      </c>
    </row>
    <row r="304" spans="1:15" x14ac:dyDescent="0.2">
      <c r="A304" s="4">
        <v>302</v>
      </c>
      <c r="B304" s="5">
        <f t="shared" ca="1" si="36"/>
        <v>45533</v>
      </c>
      <c r="C304" s="4" t="str" cm="1">
        <f t="array" aca="1" ref="C304" ca="1">INDEX({"Cochin";"Delhi";"Mumbai";"Pune";"Bengaluru"}, RANDBETWEEN(1,5))</f>
        <v>Cochin</v>
      </c>
      <c r="D304" s="4" t="str" cm="1">
        <f t="array" aca="1" ref="D304" ca="1">INDEX({"C-Class";"E-Class";"S-Class";"GLA";"GLC";"GLE";"GLS";"EQB"}, RANDBETWEEN(1,8))</f>
        <v>E-Class</v>
      </c>
      <c r="E304" s="4" t="str">
        <f t="shared" ca="1" si="37"/>
        <v>Sedan</v>
      </c>
      <c r="F304" s="4">
        <f t="shared" ca="1" si="38"/>
        <v>5</v>
      </c>
      <c r="G304" s="8">
        <f t="shared" ca="1" si="39"/>
        <v>9265900</v>
      </c>
      <c r="H304" s="8">
        <f t="shared" ca="1" si="40"/>
        <v>46329500</v>
      </c>
      <c r="I304" s="8">
        <f t="shared" ca="1" si="41"/>
        <v>34283830</v>
      </c>
      <c r="J304" s="8">
        <f t="shared" ca="1" si="42"/>
        <v>12045670</v>
      </c>
      <c r="K304" s="6">
        <f t="shared" ca="1" si="43"/>
        <v>0.26</v>
      </c>
      <c r="L304" s="4" t="str" cm="1">
        <f t="array" aca="1" ref="L30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04" s="8">
        <f t="shared" ca="1" si="44"/>
        <v>15030</v>
      </c>
      <c r="N304" s="4" t="str" cm="1">
        <f t="array" aca="1" ref="N304" ca="1">INDEX({"New";"Repeat"}, RANDBETWEEN(1,2))</f>
        <v>New</v>
      </c>
      <c r="O304" s="4" t="str" cm="1">
        <f t="array" aca="1" ref="O304" ca="1">INDEX({"Loan";"Cash";"Lease"}, RANDBETWEEN(1,3))</f>
        <v>Lease</v>
      </c>
    </row>
    <row r="305" spans="1:15" x14ac:dyDescent="0.2">
      <c r="A305" s="4">
        <v>303</v>
      </c>
      <c r="B305" s="5">
        <f t="shared" ca="1" si="36"/>
        <v>45814</v>
      </c>
      <c r="C305" s="4" t="str" cm="1">
        <f t="array" aca="1" ref="C305" ca="1">INDEX({"Cochin";"Delhi";"Mumbai";"Pune";"Bengaluru"}, RANDBETWEEN(1,5))</f>
        <v>Delhi</v>
      </c>
      <c r="D305" s="4" t="str" cm="1">
        <f t="array" aca="1" ref="D305" ca="1">INDEX({"C-Class";"E-Class";"S-Class";"GLA";"GLC";"GLE";"GLS";"EQB"}, RANDBETWEEN(1,8))</f>
        <v>C-Class</v>
      </c>
      <c r="E305" s="4" t="str">
        <f t="shared" ca="1" si="37"/>
        <v>Sedan</v>
      </c>
      <c r="F305" s="4">
        <f t="shared" ca="1" si="38"/>
        <v>1</v>
      </c>
      <c r="G305" s="8">
        <f t="shared" ca="1" si="39"/>
        <v>6027978</v>
      </c>
      <c r="H305" s="8">
        <f t="shared" ca="1" si="40"/>
        <v>6027978</v>
      </c>
      <c r="I305" s="8">
        <f t="shared" ca="1" si="41"/>
        <v>4762102.62</v>
      </c>
      <c r="J305" s="8">
        <f t="shared" ca="1" si="42"/>
        <v>1265875.3799999999</v>
      </c>
      <c r="K305" s="6">
        <f t="shared" ca="1" si="43"/>
        <v>0.21</v>
      </c>
      <c r="L305" s="4" t="str" cm="1">
        <f t="array" aca="1" ref="L30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305" s="8">
        <f t="shared" ca="1" si="44"/>
        <v>14318</v>
      </c>
      <c r="N305" s="4" t="str" cm="1">
        <f t="array" aca="1" ref="N305" ca="1">INDEX({"New";"Repeat"}, RANDBETWEEN(1,2))</f>
        <v>New</v>
      </c>
      <c r="O305" s="4" t="str" cm="1">
        <f t="array" aca="1" ref="O305" ca="1">INDEX({"Loan";"Cash";"Lease"}, RANDBETWEEN(1,3))</f>
        <v>Lease</v>
      </c>
    </row>
    <row r="306" spans="1:15" x14ac:dyDescent="0.2">
      <c r="A306" s="4">
        <v>304</v>
      </c>
      <c r="B306" s="5">
        <f t="shared" ca="1" si="36"/>
        <v>45516</v>
      </c>
      <c r="C306" s="4" t="str" cm="1">
        <f t="array" aca="1" ref="C306" ca="1">INDEX({"Cochin";"Delhi";"Mumbai";"Pune";"Bengaluru"}, RANDBETWEEN(1,5))</f>
        <v>Cochin</v>
      </c>
      <c r="D306" s="4" t="str" cm="1">
        <f t="array" aca="1" ref="D306" ca="1">INDEX({"C-Class";"E-Class";"S-Class";"GLA";"GLC";"GLE";"GLS";"EQB"}, RANDBETWEEN(1,8))</f>
        <v>GLS</v>
      </c>
      <c r="E306" s="4" t="str">
        <f t="shared" ca="1" si="37"/>
        <v>SUV</v>
      </c>
      <c r="F306" s="4">
        <f t="shared" ca="1" si="38"/>
        <v>3</v>
      </c>
      <c r="G306" s="8">
        <f t="shared" ca="1" si="39"/>
        <v>14960028</v>
      </c>
      <c r="H306" s="8">
        <f t="shared" ca="1" si="40"/>
        <v>44880084</v>
      </c>
      <c r="I306" s="8">
        <f t="shared" ca="1" si="41"/>
        <v>33211262.16</v>
      </c>
      <c r="J306" s="8">
        <f t="shared" ca="1" si="42"/>
        <v>11668821.84</v>
      </c>
      <c r="K306" s="6">
        <f t="shared" ca="1" si="43"/>
        <v>0.26</v>
      </c>
      <c r="L306" s="4" t="str" cm="1">
        <f t="array" aca="1" ref="L30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06" s="8">
        <f t="shared" ca="1" si="44"/>
        <v>6756</v>
      </c>
      <c r="N306" s="4" t="str" cm="1">
        <f t="array" aca="1" ref="N306" ca="1">INDEX({"New";"Repeat"}, RANDBETWEEN(1,2))</f>
        <v>Repeat</v>
      </c>
      <c r="O306" s="4" t="str" cm="1">
        <f t="array" aca="1" ref="O306" ca="1">INDEX({"Loan";"Cash";"Lease"}, RANDBETWEEN(1,3))</f>
        <v>Cash</v>
      </c>
    </row>
    <row r="307" spans="1:15" x14ac:dyDescent="0.2">
      <c r="A307" s="4">
        <v>305</v>
      </c>
      <c r="B307" s="5">
        <f t="shared" ca="1" si="36"/>
        <v>45665</v>
      </c>
      <c r="C307" s="4" t="str" cm="1">
        <f t="array" aca="1" ref="C307" ca="1">INDEX({"Cochin";"Delhi";"Mumbai";"Pune";"Bengaluru"}, RANDBETWEEN(1,5))</f>
        <v>Cochin</v>
      </c>
      <c r="D307" s="4" t="str" cm="1">
        <f t="array" aca="1" ref="D307" ca="1">INDEX({"C-Class";"E-Class";"S-Class";"GLA";"GLC";"GLE";"GLS";"EQB"}, RANDBETWEEN(1,8))</f>
        <v>GLE</v>
      </c>
      <c r="E307" s="4" t="str">
        <f t="shared" ca="1" si="37"/>
        <v>SUV</v>
      </c>
      <c r="F307" s="4">
        <f t="shared" ca="1" si="38"/>
        <v>2</v>
      </c>
      <c r="G307" s="8">
        <f t="shared" ca="1" si="39"/>
        <v>11107217</v>
      </c>
      <c r="H307" s="8">
        <f t="shared" ca="1" si="40"/>
        <v>22214434</v>
      </c>
      <c r="I307" s="8">
        <f t="shared" ca="1" si="41"/>
        <v>17549402.859999999</v>
      </c>
      <c r="J307" s="8">
        <f t="shared" ca="1" si="42"/>
        <v>4665031.1400000006</v>
      </c>
      <c r="K307" s="6">
        <f t="shared" ca="1" si="43"/>
        <v>0.21000000000000002</v>
      </c>
      <c r="L307" s="4" t="str" cm="1">
        <f t="array" aca="1" ref="L30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307" s="8">
        <f t="shared" ca="1" si="44"/>
        <v>7297</v>
      </c>
      <c r="N307" s="4" t="str" cm="1">
        <f t="array" aca="1" ref="N307" ca="1">INDEX({"New";"Repeat"}, RANDBETWEEN(1,2))</f>
        <v>Repeat</v>
      </c>
      <c r="O307" s="4" t="str" cm="1">
        <f t="array" aca="1" ref="O307" ca="1">INDEX({"Loan";"Cash";"Lease"}, RANDBETWEEN(1,3))</f>
        <v>Lease</v>
      </c>
    </row>
    <row r="308" spans="1:15" x14ac:dyDescent="0.2">
      <c r="A308" s="4">
        <v>306</v>
      </c>
      <c r="B308" s="5">
        <f t="shared" ca="1" si="36"/>
        <v>45330</v>
      </c>
      <c r="C308" s="4" t="str" cm="1">
        <f t="array" aca="1" ref="C308" ca="1">INDEX({"Cochin";"Delhi";"Mumbai";"Pune";"Bengaluru"}, RANDBETWEEN(1,5))</f>
        <v>Mumbai</v>
      </c>
      <c r="D308" s="4" t="str" cm="1">
        <f t="array" aca="1" ref="D308" ca="1">INDEX({"C-Class";"E-Class";"S-Class";"GLA";"GLC";"GLE";"GLS";"EQB"}, RANDBETWEEN(1,8))</f>
        <v>EQB</v>
      </c>
      <c r="E308" s="4" t="str">
        <f t="shared" ca="1" si="37"/>
        <v>EV</v>
      </c>
      <c r="F308" s="4">
        <f t="shared" ca="1" si="38"/>
        <v>5</v>
      </c>
      <c r="G308" s="8">
        <f t="shared" ca="1" si="39"/>
        <v>7204685</v>
      </c>
      <c r="H308" s="8">
        <f t="shared" ca="1" si="40"/>
        <v>36023425</v>
      </c>
      <c r="I308" s="8">
        <f t="shared" ca="1" si="41"/>
        <v>25216397.5</v>
      </c>
      <c r="J308" s="8">
        <f t="shared" ca="1" si="42"/>
        <v>10807027.5</v>
      </c>
      <c r="K308" s="6">
        <f t="shared" ca="1" si="43"/>
        <v>0.3</v>
      </c>
      <c r="L308" s="4" t="str" cm="1">
        <f t="array" aca="1" ref="L30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08" s="8">
        <f t="shared" ca="1" si="44"/>
        <v>6185</v>
      </c>
      <c r="N308" s="4" t="str" cm="1">
        <f t="array" aca="1" ref="N308" ca="1">INDEX({"New";"Repeat"}, RANDBETWEEN(1,2))</f>
        <v>Repeat</v>
      </c>
      <c r="O308" s="4" t="str" cm="1">
        <f t="array" aca="1" ref="O308" ca="1">INDEX({"Loan";"Cash";"Lease"}, RANDBETWEEN(1,3))</f>
        <v>Loan</v>
      </c>
    </row>
    <row r="309" spans="1:15" x14ac:dyDescent="0.2">
      <c r="A309" s="4">
        <v>307</v>
      </c>
      <c r="B309" s="5">
        <f t="shared" ca="1" si="36"/>
        <v>45771</v>
      </c>
      <c r="C309" s="4" t="str" cm="1">
        <f t="array" aca="1" ref="C309" ca="1">INDEX({"Cochin";"Delhi";"Mumbai";"Pune";"Bengaluru"}, RANDBETWEEN(1,5))</f>
        <v>Delhi</v>
      </c>
      <c r="D309" s="4" t="str" cm="1">
        <f t="array" aca="1" ref="D309" ca="1">INDEX({"C-Class";"E-Class";"S-Class";"GLA";"GLC";"GLE";"GLS";"EQB"}, RANDBETWEEN(1,8))</f>
        <v>GLC</v>
      </c>
      <c r="E309" s="4" t="str">
        <f t="shared" ca="1" si="37"/>
        <v>SUV</v>
      </c>
      <c r="F309" s="4">
        <f t="shared" ca="1" si="38"/>
        <v>4</v>
      </c>
      <c r="G309" s="8">
        <f t="shared" ca="1" si="39"/>
        <v>6611277</v>
      </c>
      <c r="H309" s="8">
        <f t="shared" ca="1" si="40"/>
        <v>26445108</v>
      </c>
      <c r="I309" s="8">
        <f t="shared" ca="1" si="41"/>
        <v>22478341.800000001</v>
      </c>
      <c r="J309" s="8">
        <f t="shared" ca="1" si="42"/>
        <v>3966766.1999999993</v>
      </c>
      <c r="K309" s="6">
        <f t="shared" ca="1" si="43"/>
        <v>0.14999999999999997</v>
      </c>
      <c r="L309" s="4" t="str" cm="1">
        <f t="array" aca="1" ref="L30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09" s="8">
        <f t="shared" ca="1" si="44"/>
        <v>12937</v>
      </c>
      <c r="N309" s="4" t="str" cm="1">
        <f t="array" aca="1" ref="N309" ca="1">INDEX({"New";"Repeat"}, RANDBETWEEN(1,2))</f>
        <v>New</v>
      </c>
      <c r="O309" s="4" t="str" cm="1">
        <f t="array" aca="1" ref="O309" ca="1">INDEX({"Loan";"Cash";"Lease"}, RANDBETWEEN(1,3))</f>
        <v>Lease</v>
      </c>
    </row>
    <row r="310" spans="1:15" x14ac:dyDescent="0.2">
      <c r="A310" s="4">
        <v>308</v>
      </c>
      <c r="B310" s="5">
        <f t="shared" ca="1" si="36"/>
        <v>45743</v>
      </c>
      <c r="C310" s="4" t="str" cm="1">
        <f t="array" aca="1" ref="C310" ca="1">INDEX({"Cochin";"Delhi";"Mumbai";"Pune";"Bengaluru"}, RANDBETWEEN(1,5))</f>
        <v>Mumbai</v>
      </c>
      <c r="D310" s="4" t="str" cm="1">
        <f t="array" aca="1" ref="D310" ca="1">INDEX({"C-Class";"E-Class";"S-Class";"GLA";"GLC";"GLE";"GLS";"EQB"}, RANDBETWEEN(1,8))</f>
        <v>S-Class</v>
      </c>
      <c r="E310" s="4" t="str">
        <f t="shared" ca="1" si="37"/>
        <v>Sedan</v>
      </c>
      <c r="F310" s="4">
        <f t="shared" ca="1" si="38"/>
        <v>3</v>
      </c>
      <c r="G310" s="8">
        <f t="shared" ca="1" si="39"/>
        <v>24592364</v>
      </c>
      <c r="H310" s="8">
        <f t="shared" ca="1" si="40"/>
        <v>73777092</v>
      </c>
      <c r="I310" s="8">
        <f t="shared" ca="1" si="41"/>
        <v>59021673.600000001</v>
      </c>
      <c r="J310" s="8">
        <f t="shared" ca="1" si="42"/>
        <v>14755418.399999999</v>
      </c>
      <c r="K310" s="6">
        <f t="shared" ca="1" si="43"/>
        <v>0.19999999999999998</v>
      </c>
      <c r="L310" s="4" t="str" cm="1">
        <f t="array" aca="1" ref="L310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10" s="8">
        <f t="shared" ca="1" si="44"/>
        <v>5714</v>
      </c>
      <c r="N310" s="4" t="str" cm="1">
        <f t="array" aca="1" ref="N310" ca="1">INDEX({"New";"Repeat"}, RANDBETWEEN(1,2))</f>
        <v>Repeat</v>
      </c>
      <c r="O310" s="4" t="str" cm="1">
        <f t="array" aca="1" ref="O310" ca="1">INDEX({"Loan";"Cash";"Lease"}, RANDBETWEEN(1,3))</f>
        <v>Cash</v>
      </c>
    </row>
    <row r="311" spans="1:15" x14ac:dyDescent="0.2">
      <c r="A311" s="4">
        <v>309</v>
      </c>
      <c r="B311" s="5">
        <f t="shared" ca="1" si="36"/>
        <v>45876</v>
      </c>
      <c r="C311" s="4" t="str" cm="1">
        <f t="array" aca="1" ref="C311" ca="1">INDEX({"Cochin";"Delhi";"Mumbai";"Pune";"Bengaluru"}, RANDBETWEEN(1,5))</f>
        <v>Pune</v>
      </c>
      <c r="D311" s="4" t="str" cm="1">
        <f t="array" aca="1" ref="D311" ca="1">INDEX({"C-Class";"E-Class";"S-Class";"GLA";"GLC";"GLE";"GLS";"EQB"}, RANDBETWEEN(1,8))</f>
        <v>S-Class</v>
      </c>
      <c r="E311" s="4" t="str">
        <f t="shared" ca="1" si="37"/>
        <v>Sedan</v>
      </c>
      <c r="F311" s="4">
        <f t="shared" ca="1" si="38"/>
        <v>5</v>
      </c>
      <c r="G311" s="8">
        <f t="shared" ca="1" si="39"/>
        <v>15786978</v>
      </c>
      <c r="H311" s="8">
        <f t="shared" ca="1" si="40"/>
        <v>78934890</v>
      </c>
      <c r="I311" s="8">
        <f t="shared" ca="1" si="41"/>
        <v>58411818.600000001</v>
      </c>
      <c r="J311" s="8">
        <f t="shared" ca="1" si="42"/>
        <v>20523071.399999999</v>
      </c>
      <c r="K311" s="6">
        <f t="shared" ca="1" si="43"/>
        <v>0.25999999999999995</v>
      </c>
      <c r="L311" s="4" t="str" cm="1">
        <f t="array" aca="1" ref="L31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11" s="8">
        <f t="shared" ca="1" si="44"/>
        <v>21895</v>
      </c>
      <c r="N311" s="4" t="str" cm="1">
        <f t="array" aca="1" ref="N311" ca="1">INDEX({"New";"Repeat"}, RANDBETWEEN(1,2))</f>
        <v>New</v>
      </c>
      <c r="O311" s="4" t="str" cm="1">
        <f t="array" aca="1" ref="O311" ca="1">INDEX({"Loan";"Cash";"Lease"}, RANDBETWEEN(1,3))</f>
        <v>Lease</v>
      </c>
    </row>
    <row r="312" spans="1:15" x14ac:dyDescent="0.2">
      <c r="A312" s="4">
        <v>310</v>
      </c>
      <c r="B312" s="5">
        <f t="shared" ca="1" si="36"/>
        <v>45375</v>
      </c>
      <c r="C312" s="4" t="str" cm="1">
        <f t="array" aca="1" ref="C312" ca="1">INDEX({"Cochin";"Delhi";"Mumbai";"Pune";"Bengaluru"}, RANDBETWEEN(1,5))</f>
        <v>Cochin</v>
      </c>
      <c r="D312" s="4" t="str" cm="1">
        <f t="array" aca="1" ref="D312" ca="1">INDEX({"C-Class";"E-Class";"S-Class";"GLA";"GLC";"GLE";"GLS";"EQB"}, RANDBETWEEN(1,8))</f>
        <v>E-Class</v>
      </c>
      <c r="E312" s="4" t="str">
        <f t="shared" ca="1" si="37"/>
        <v>Sedan</v>
      </c>
      <c r="F312" s="4">
        <f t="shared" ca="1" si="38"/>
        <v>3</v>
      </c>
      <c r="G312" s="8">
        <f t="shared" ca="1" si="39"/>
        <v>9405348</v>
      </c>
      <c r="H312" s="8">
        <f t="shared" ca="1" si="40"/>
        <v>28216044</v>
      </c>
      <c r="I312" s="8">
        <f t="shared" ca="1" si="41"/>
        <v>22290674.760000002</v>
      </c>
      <c r="J312" s="8">
        <f t="shared" ca="1" si="42"/>
        <v>5925369.2399999984</v>
      </c>
      <c r="K312" s="6">
        <f t="shared" ca="1" si="43"/>
        <v>0.20999999999999994</v>
      </c>
      <c r="L312" s="4" t="str" cm="1">
        <f t="array" aca="1" ref="L31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12" s="8">
        <f t="shared" ca="1" si="44"/>
        <v>18362</v>
      </c>
      <c r="N312" s="4" t="str" cm="1">
        <f t="array" aca="1" ref="N312" ca="1">INDEX({"New";"Repeat"}, RANDBETWEEN(1,2))</f>
        <v>New</v>
      </c>
      <c r="O312" s="4" t="str" cm="1">
        <f t="array" aca="1" ref="O312" ca="1">INDEX({"Loan";"Cash";"Lease"}, RANDBETWEEN(1,3))</f>
        <v>Cash</v>
      </c>
    </row>
    <row r="313" spans="1:15" x14ac:dyDescent="0.2">
      <c r="A313" s="4">
        <v>311</v>
      </c>
      <c r="B313" s="5">
        <f t="shared" ca="1" si="36"/>
        <v>44969</v>
      </c>
      <c r="C313" s="4" t="str" cm="1">
        <f t="array" aca="1" ref="C313" ca="1">INDEX({"Cochin";"Delhi";"Mumbai";"Pune";"Bengaluru"}, RANDBETWEEN(1,5))</f>
        <v>Pune</v>
      </c>
      <c r="D313" s="4" t="str" cm="1">
        <f t="array" aca="1" ref="D313" ca="1">INDEX({"C-Class";"E-Class";"S-Class";"GLA";"GLC";"GLE";"GLS";"EQB"}, RANDBETWEEN(1,8))</f>
        <v>GLA</v>
      </c>
      <c r="E313" s="4" t="str">
        <f t="shared" ca="1" si="37"/>
        <v>SUV</v>
      </c>
      <c r="F313" s="4">
        <f t="shared" ca="1" si="38"/>
        <v>4</v>
      </c>
      <c r="G313" s="8">
        <f t="shared" ca="1" si="39"/>
        <v>4671573</v>
      </c>
      <c r="H313" s="8">
        <f t="shared" ca="1" si="40"/>
        <v>18686292</v>
      </c>
      <c r="I313" s="8">
        <f t="shared" ca="1" si="41"/>
        <v>14762170.68</v>
      </c>
      <c r="J313" s="8">
        <f t="shared" ca="1" si="42"/>
        <v>3924121.3200000003</v>
      </c>
      <c r="K313" s="6">
        <f t="shared" ca="1" si="43"/>
        <v>0.21000000000000002</v>
      </c>
      <c r="L313" s="4" t="str" cm="1">
        <f t="array" aca="1" ref="L313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13" s="8">
        <f t="shared" ca="1" si="44"/>
        <v>13441</v>
      </c>
      <c r="N313" s="4" t="str" cm="1">
        <f t="array" aca="1" ref="N313" ca="1">INDEX({"New";"Repeat"}, RANDBETWEEN(1,2))</f>
        <v>New</v>
      </c>
      <c r="O313" s="4" t="str" cm="1">
        <f t="array" aca="1" ref="O313" ca="1">INDEX({"Loan";"Cash";"Lease"}, RANDBETWEEN(1,3))</f>
        <v>Cash</v>
      </c>
    </row>
    <row r="314" spans="1:15" x14ac:dyDescent="0.2">
      <c r="A314" s="4">
        <v>312</v>
      </c>
      <c r="B314" s="5">
        <f t="shared" ca="1" si="36"/>
        <v>45324</v>
      </c>
      <c r="C314" s="4" t="str" cm="1">
        <f t="array" aca="1" ref="C314" ca="1">INDEX({"Cochin";"Delhi";"Mumbai";"Pune";"Bengaluru"}, RANDBETWEEN(1,5))</f>
        <v>Pune</v>
      </c>
      <c r="D314" s="4" t="str" cm="1">
        <f t="array" aca="1" ref="D314" ca="1">INDEX({"C-Class";"E-Class";"S-Class";"GLA";"GLC";"GLE";"GLS";"EQB"}, RANDBETWEEN(1,8))</f>
        <v>GLC</v>
      </c>
      <c r="E314" s="4" t="str">
        <f t="shared" ca="1" si="37"/>
        <v>SUV</v>
      </c>
      <c r="F314" s="4">
        <f t="shared" ca="1" si="38"/>
        <v>1</v>
      </c>
      <c r="G314" s="8">
        <f t="shared" ca="1" si="39"/>
        <v>6620572</v>
      </c>
      <c r="H314" s="8">
        <f t="shared" ca="1" si="40"/>
        <v>6620572</v>
      </c>
      <c r="I314" s="8">
        <f t="shared" ca="1" si="41"/>
        <v>5031634.72</v>
      </c>
      <c r="J314" s="8">
        <f t="shared" ca="1" si="42"/>
        <v>1588937.2800000003</v>
      </c>
      <c r="K314" s="6">
        <f t="shared" ca="1" si="43"/>
        <v>0.24000000000000005</v>
      </c>
      <c r="L314" s="4" t="str" cm="1">
        <f t="array" aca="1" ref="L31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14" s="8">
        <f t="shared" ca="1" si="44"/>
        <v>18411</v>
      </c>
      <c r="N314" s="4" t="str" cm="1">
        <f t="array" aca="1" ref="N314" ca="1">INDEX({"New";"Repeat"}, RANDBETWEEN(1,2))</f>
        <v>New</v>
      </c>
      <c r="O314" s="4" t="str" cm="1">
        <f t="array" aca="1" ref="O314" ca="1">INDEX({"Loan";"Cash";"Lease"}, RANDBETWEEN(1,3))</f>
        <v>Loan</v>
      </c>
    </row>
    <row r="315" spans="1:15" x14ac:dyDescent="0.2">
      <c r="A315" s="4">
        <v>313</v>
      </c>
      <c r="B315" s="5">
        <f t="shared" ca="1" si="36"/>
        <v>45746</v>
      </c>
      <c r="C315" s="4" t="str" cm="1">
        <f t="array" aca="1" ref="C315" ca="1">INDEX({"Cochin";"Delhi";"Mumbai";"Pune";"Bengaluru"}, RANDBETWEEN(1,5))</f>
        <v>Delhi</v>
      </c>
      <c r="D315" s="4" t="str" cm="1">
        <f t="array" aca="1" ref="D315" ca="1">INDEX({"C-Class";"E-Class";"S-Class";"GLA";"GLC";"GLE";"GLS";"EQB"}, RANDBETWEEN(1,8))</f>
        <v>GLA</v>
      </c>
      <c r="E315" s="4" t="str">
        <f t="shared" ca="1" si="37"/>
        <v>SUV</v>
      </c>
      <c r="F315" s="4">
        <f t="shared" ca="1" si="38"/>
        <v>1</v>
      </c>
      <c r="G315" s="8">
        <f t="shared" ca="1" si="39"/>
        <v>5380503</v>
      </c>
      <c r="H315" s="8">
        <f t="shared" ca="1" si="40"/>
        <v>5380503</v>
      </c>
      <c r="I315" s="8">
        <f t="shared" ca="1" si="41"/>
        <v>3873962.16</v>
      </c>
      <c r="J315" s="8">
        <f t="shared" ca="1" si="42"/>
        <v>1506540.8399999999</v>
      </c>
      <c r="K315" s="6">
        <f t="shared" ca="1" si="43"/>
        <v>0.27999999999999997</v>
      </c>
      <c r="L315" s="4" t="str" cm="1">
        <f t="array" aca="1" ref="L31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15" s="8">
        <f t="shared" ca="1" si="44"/>
        <v>5306</v>
      </c>
      <c r="N315" s="4" t="str" cm="1">
        <f t="array" aca="1" ref="N315" ca="1">INDEX({"New";"Repeat"}, RANDBETWEEN(1,2))</f>
        <v>Repeat</v>
      </c>
      <c r="O315" s="4" t="str" cm="1">
        <f t="array" aca="1" ref="O315" ca="1">INDEX({"Loan";"Cash";"Lease"}, RANDBETWEEN(1,3))</f>
        <v>Cash</v>
      </c>
    </row>
    <row r="316" spans="1:15" x14ac:dyDescent="0.2">
      <c r="A316" s="4">
        <v>314</v>
      </c>
      <c r="B316" s="5">
        <f t="shared" ca="1" si="36"/>
        <v>45644</v>
      </c>
      <c r="C316" s="4" t="str" cm="1">
        <f t="array" aca="1" ref="C316" ca="1">INDEX({"Cochin";"Delhi";"Mumbai";"Pune";"Bengaluru"}, RANDBETWEEN(1,5))</f>
        <v>Pune</v>
      </c>
      <c r="D316" s="4" t="str" cm="1">
        <f t="array" aca="1" ref="D316" ca="1">INDEX({"C-Class";"E-Class";"S-Class";"GLA";"GLC";"GLE";"GLS";"EQB"}, RANDBETWEEN(1,8))</f>
        <v>GLC</v>
      </c>
      <c r="E316" s="4" t="str">
        <f t="shared" ca="1" si="37"/>
        <v>SUV</v>
      </c>
      <c r="F316" s="4">
        <f t="shared" ca="1" si="38"/>
        <v>2</v>
      </c>
      <c r="G316" s="8">
        <f t="shared" ca="1" si="39"/>
        <v>6587947</v>
      </c>
      <c r="H316" s="8">
        <f t="shared" ca="1" si="40"/>
        <v>13175894</v>
      </c>
      <c r="I316" s="8">
        <f t="shared" ca="1" si="41"/>
        <v>10408956.26</v>
      </c>
      <c r="J316" s="8">
        <f t="shared" ca="1" si="42"/>
        <v>2766937.74</v>
      </c>
      <c r="K316" s="6">
        <f t="shared" ca="1" si="43"/>
        <v>0.21000000000000002</v>
      </c>
      <c r="L316" s="4" t="str" cm="1">
        <f t="array" aca="1" ref="L31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16" s="8">
        <f t="shared" ca="1" si="44"/>
        <v>3997</v>
      </c>
      <c r="N316" s="4" t="str" cm="1">
        <f t="array" aca="1" ref="N316" ca="1">INDEX({"New";"Repeat"}, RANDBETWEEN(1,2))</f>
        <v>Repeat</v>
      </c>
      <c r="O316" s="4" t="str" cm="1">
        <f t="array" aca="1" ref="O316" ca="1">INDEX({"Loan";"Cash";"Lease"}, RANDBETWEEN(1,3))</f>
        <v>Loan</v>
      </c>
    </row>
    <row r="317" spans="1:15" x14ac:dyDescent="0.2">
      <c r="A317" s="4">
        <v>315</v>
      </c>
      <c r="B317" s="5">
        <f t="shared" ca="1" si="36"/>
        <v>45810</v>
      </c>
      <c r="C317" s="4" t="str" cm="1">
        <f t="array" aca="1" ref="C317" ca="1">INDEX({"Cochin";"Delhi";"Mumbai";"Pune";"Bengaluru"}, RANDBETWEEN(1,5))</f>
        <v>Delhi</v>
      </c>
      <c r="D317" s="4" t="str" cm="1">
        <f t="array" aca="1" ref="D317" ca="1">INDEX({"C-Class";"E-Class";"S-Class";"GLA";"GLC";"GLE";"GLS";"EQB"}, RANDBETWEEN(1,8))</f>
        <v>S-Class</v>
      </c>
      <c r="E317" s="4" t="str">
        <f t="shared" ca="1" si="37"/>
        <v>Sedan</v>
      </c>
      <c r="F317" s="4">
        <f t="shared" ca="1" si="38"/>
        <v>1</v>
      </c>
      <c r="G317" s="8">
        <f t="shared" ca="1" si="39"/>
        <v>22346797</v>
      </c>
      <c r="H317" s="8">
        <f t="shared" ca="1" si="40"/>
        <v>22346797</v>
      </c>
      <c r="I317" s="8">
        <f t="shared" ca="1" si="41"/>
        <v>16089693.84</v>
      </c>
      <c r="J317" s="8">
        <f t="shared" ca="1" si="42"/>
        <v>6257103.1600000001</v>
      </c>
      <c r="K317" s="6">
        <f t="shared" ca="1" si="43"/>
        <v>0.28000000000000003</v>
      </c>
      <c r="L317" s="4" t="str" cm="1">
        <f t="array" aca="1" ref="L317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17" s="8">
        <f t="shared" ca="1" si="44"/>
        <v>21431</v>
      </c>
      <c r="N317" s="4" t="str" cm="1">
        <f t="array" aca="1" ref="N317" ca="1">INDEX({"New";"Repeat"}, RANDBETWEEN(1,2))</f>
        <v>New</v>
      </c>
      <c r="O317" s="4" t="str" cm="1">
        <f t="array" aca="1" ref="O317" ca="1">INDEX({"Loan";"Cash";"Lease"}, RANDBETWEEN(1,3))</f>
        <v>Cash</v>
      </c>
    </row>
    <row r="318" spans="1:15" x14ac:dyDescent="0.2">
      <c r="A318" s="4">
        <v>316</v>
      </c>
      <c r="B318" s="5">
        <f t="shared" ca="1" si="36"/>
        <v>45238</v>
      </c>
      <c r="C318" s="4" t="str" cm="1">
        <f t="array" aca="1" ref="C318" ca="1">INDEX({"Cochin";"Delhi";"Mumbai";"Pune";"Bengaluru"}, RANDBETWEEN(1,5))</f>
        <v>Pune</v>
      </c>
      <c r="D318" s="4" t="str" cm="1">
        <f t="array" aca="1" ref="D318" ca="1">INDEX({"C-Class";"E-Class";"S-Class";"GLA";"GLC";"GLE";"GLS";"EQB"}, RANDBETWEEN(1,8))</f>
        <v>GLA</v>
      </c>
      <c r="E318" s="4" t="str">
        <f t="shared" ca="1" si="37"/>
        <v>SUV</v>
      </c>
      <c r="F318" s="4">
        <f t="shared" ca="1" si="38"/>
        <v>4</v>
      </c>
      <c r="G318" s="8">
        <f t="shared" ca="1" si="39"/>
        <v>4889050</v>
      </c>
      <c r="H318" s="8">
        <f t="shared" ca="1" si="40"/>
        <v>19556200</v>
      </c>
      <c r="I318" s="8">
        <f t="shared" ca="1" si="41"/>
        <v>16622770</v>
      </c>
      <c r="J318" s="8">
        <f t="shared" ca="1" si="42"/>
        <v>2933430</v>
      </c>
      <c r="K318" s="6">
        <f t="shared" ca="1" si="43"/>
        <v>0.15</v>
      </c>
      <c r="L318" s="4" t="str" cm="1">
        <f t="array" aca="1" ref="L31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18" s="8">
        <f t="shared" ca="1" si="44"/>
        <v>24780</v>
      </c>
      <c r="N318" s="4" t="str" cm="1">
        <f t="array" aca="1" ref="N318" ca="1">INDEX({"New";"Repeat"}, RANDBETWEEN(1,2))</f>
        <v>New</v>
      </c>
      <c r="O318" s="4" t="str" cm="1">
        <f t="array" aca="1" ref="O318" ca="1">INDEX({"Loan";"Cash";"Lease"}, RANDBETWEEN(1,3))</f>
        <v>Cash</v>
      </c>
    </row>
    <row r="319" spans="1:15" x14ac:dyDescent="0.2">
      <c r="A319" s="4">
        <v>317</v>
      </c>
      <c r="B319" s="5">
        <f t="shared" ca="1" si="36"/>
        <v>45832</v>
      </c>
      <c r="C319" s="4" t="str" cm="1">
        <f t="array" aca="1" ref="C319" ca="1">INDEX({"Cochin";"Delhi";"Mumbai";"Pune";"Bengaluru"}, RANDBETWEEN(1,5))</f>
        <v>Bengaluru</v>
      </c>
      <c r="D319" s="4" t="str" cm="1">
        <f t="array" aca="1" ref="D319" ca="1">INDEX({"C-Class";"E-Class";"S-Class";"GLA";"GLC";"GLE";"GLS";"EQB"}, RANDBETWEEN(1,8))</f>
        <v>EQB</v>
      </c>
      <c r="E319" s="4" t="str">
        <f t="shared" ca="1" si="37"/>
        <v>EV</v>
      </c>
      <c r="F319" s="4">
        <f t="shared" ca="1" si="38"/>
        <v>4</v>
      </c>
      <c r="G319" s="8">
        <f t="shared" ca="1" si="39"/>
        <v>7964543</v>
      </c>
      <c r="H319" s="8">
        <f t="shared" ca="1" si="40"/>
        <v>31858172</v>
      </c>
      <c r="I319" s="8">
        <f t="shared" ca="1" si="41"/>
        <v>26760864.48</v>
      </c>
      <c r="J319" s="8">
        <f t="shared" ca="1" si="42"/>
        <v>5097307.5199999996</v>
      </c>
      <c r="K319" s="6">
        <f t="shared" ca="1" si="43"/>
        <v>0.15999999999999998</v>
      </c>
      <c r="L319" s="4" t="str" cm="1">
        <f t="array" aca="1" ref="L31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319" s="8">
        <f t="shared" ca="1" si="44"/>
        <v>4829</v>
      </c>
      <c r="N319" s="4" t="str" cm="1">
        <f t="array" aca="1" ref="N319" ca="1">INDEX({"New";"Repeat"}, RANDBETWEEN(1,2))</f>
        <v>Repeat</v>
      </c>
      <c r="O319" s="4" t="str" cm="1">
        <f t="array" aca="1" ref="O319" ca="1">INDEX({"Loan";"Cash";"Lease"}, RANDBETWEEN(1,3))</f>
        <v>Loan</v>
      </c>
    </row>
    <row r="320" spans="1:15" x14ac:dyDescent="0.2">
      <c r="A320" s="4">
        <v>318</v>
      </c>
      <c r="B320" s="5">
        <f t="shared" ca="1" si="36"/>
        <v>45753</v>
      </c>
      <c r="C320" s="4" t="str" cm="1">
        <f t="array" aca="1" ref="C320" ca="1">INDEX({"Cochin";"Delhi";"Mumbai";"Pune";"Bengaluru"}, RANDBETWEEN(1,5))</f>
        <v>Bengaluru</v>
      </c>
      <c r="D320" s="4" t="str" cm="1">
        <f t="array" aca="1" ref="D320" ca="1">INDEX({"C-Class";"E-Class";"S-Class";"GLA";"GLC";"GLE";"GLS";"EQB"}, RANDBETWEEN(1,8))</f>
        <v>GLA</v>
      </c>
      <c r="E320" s="4" t="str">
        <f t="shared" ca="1" si="37"/>
        <v>SUV</v>
      </c>
      <c r="F320" s="4">
        <f t="shared" ca="1" si="38"/>
        <v>3</v>
      </c>
      <c r="G320" s="8">
        <f t="shared" ca="1" si="39"/>
        <v>4782476</v>
      </c>
      <c r="H320" s="8">
        <f t="shared" ca="1" si="40"/>
        <v>14347428</v>
      </c>
      <c r="I320" s="8">
        <f t="shared" ca="1" si="41"/>
        <v>10760571</v>
      </c>
      <c r="J320" s="8">
        <f t="shared" ca="1" si="42"/>
        <v>3586857</v>
      </c>
      <c r="K320" s="6">
        <f t="shared" ca="1" si="43"/>
        <v>0.25</v>
      </c>
      <c r="L320" s="4" t="str" cm="1">
        <f t="array" aca="1" ref="L32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20" s="8">
        <f t="shared" ca="1" si="44"/>
        <v>20885</v>
      </c>
      <c r="N320" s="4" t="str" cm="1">
        <f t="array" aca="1" ref="N320" ca="1">INDEX({"New";"Repeat"}, RANDBETWEEN(1,2))</f>
        <v>New</v>
      </c>
      <c r="O320" s="4" t="str" cm="1">
        <f t="array" aca="1" ref="O320" ca="1">INDEX({"Loan";"Cash";"Lease"}, RANDBETWEEN(1,3))</f>
        <v>Cash</v>
      </c>
    </row>
    <row r="321" spans="1:15" x14ac:dyDescent="0.2">
      <c r="A321" s="4">
        <v>319</v>
      </c>
      <c r="B321" s="5">
        <f t="shared" ca="1" si="36"/>
        <v>45072</v>
      </c>
      <c r="C321" s="4" t="str" cm="1">
        <f t="array" aca="1" ref="C321" ca="1">INDEX({"Cochin";"Delhi";"Mumbai";"Pune";"Bengaluru"}, RANDBETWEEN(1,5))</f>
        <v>Bengaluru</v>
      </c>
      <c r="D321" s="4" t="str" cm="1">
        <f t="array" aca="1" ref="D321" ca="1">INDEX({"C-Class";"E-Class";"S-Class";"GLA";"GLC";"GLE";"GLS";"EQB"}, RANDBETWEEN(1,8))</f>
        <v>EQB</v>
      </c>
      <c r="E321" s="4" t="str">
        <f t="shared" ca="1" si="37"/>
        <v>EV</v>
      </c>
      <c r="F321" s="4">
        <f t="shared" ca="1" si="38"/>
        <v>1</v>
      </c>
      <c r="G321" s="8">
        <f t="shared" ca="1" si="39"/>
        <v>7713877</v>
      </c>
      <c r="H321" s="8">
        <f t="shared" ca="1" si="40"/>
        <v>7713877</v>
      </c>
      <c r="I321" s="8">
        <f t="shared" ca="1" si="41"/>
        <v>6171101.5999999996</v>
      </c>
      <c r="J321" s="8">
        <f t="shared" ca="1" si="42"/>
        <v>1542775.4000000004</v>
      </c>
      <c r="K321" s="6">
        <f t="shared" ca="1" si="43"/>
        <v>0.20000000000000004</v>
      </c>
      <c r="L321" s="4" t="str" cm="1">
        <f t="array" aca="1" ref="L32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21" s="8">
        <f t="shared" ca="1" si="44"/>
        <v>6162</v>
      </c>
      <c r="N321" s="4" t="str" cm="1">
        <f t="array" aca="1" ref="N321" ca="1">INDEX({"New";"Repeat"}, RANDBETWEEN(1,2))</f>
        <v>Repeat</v>
      </c>
      <c r="O321" s="4" t="str" cm="1">
        <f t="array" aca="1" ref="O321" ca="1">INDEX({"Loan";"Cash";"Lease"}, RANDBETWEEN(1,3))</f>
        <v>Lease</v>
      </c>
    </row>
    <row r="322" spans="1:15" x14ac:dyDescent="0.2">
      <c r="A322" s="4">
        <v>320</v>
      </c>
      <c r="B322" s="5">
        <f t="shared" ca="1" si="36"/>
        <v>45019</v>
      </c>
      <c r="C322" s="4" t="str" cm="1">
        <f t="array" aca="1" ref="C322" ca="1">INDEX({"Cochin";"Delhi";"Mumbai";"Pune";"Bengaluru"}, RANDBETWEEN(1,5))</f>
        <v>Bengaluru</v>
      </c>
      <c r="D322" s="4" t="str" cm="1">
        <f t="array" aca="1" ref="D322" ca="1">INDEX({"C-Class";"E-Class";"S-Class";"GLA";"GLC";"GLE";"GLS";"EQB"}, RANDBETWEEN(1,8))</f>
        <v>GLS</v>
      </c>
      <c r="E322" s="4" t="str">
        <f t="shared" ca="1" si="37"/>
        <v>SUV</v>
      </c>
      <c r="F322" s="4">
        <f t="shared" ca="1" si="38"/>
        <v>3</v>
      </c>
      <c r="G322" s="8">
        <f t="shared" ca="1" si="39"/>
        <v>13288577</v>
      </c>
      <c r="H322" s="8">
        <f t="shared" ca="1" si="40"/>
        <v>39865731</v>
      </c>
      <c r="I322" s="8">
        <f t="shared" ca="1" si="41"/>
        <v>28304669.010000002</v>
      </c>
      <c r="J322" s="8">
        <f t="shared" ca="1" si="42"/>
        <v>11561061.989999998</v>
      </c>
      <c r="K322" s="6">
        <f t="shared" ca="1" si="43"/>
        <v>0.28999999999999998</v>
      </c>
      <c r="L322" s="4" t="str" cm="1">
        <f t="array" aca="1" ref="L32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322" s="8">
        <f t="shared" ca="1" si="44"/>
        <v>5762</v>
      </c>
      <c r="N322" s="4" t="str" cm="1">
        <f t="array" aca="1" ref="N322" ca="1">INDEX({"New";"Repeat"}, RANDBETWEEN(1,2))</f>
        <v>Repeat</v>
      </c>
      <c r="O322" s="4" t="str" cm="1">
        <f t="array" aca="1" ref="O322" ca="1">INDEX({"Loan";"Cash";"Lease"}, RANDBETWEEN(1,3))</f>
        <v>Cash</v>
      </c>
    </row>
    <row r="323" spans="1:15" x14ac:dyDescent="0.2">
      <c r="A323" s="4">
        <v>321</v>
      </c>
      <c r="B323" s="5">
        <f t="shared" ca="1" si="36"/>
        <v>45535</v>
      </c>
      <c r="C323" s="4" t="str" cm="1">
        <f t="array" aca="1" ref="C323" ca="1">INDEX({"Cochin";"Delhi";"Mumbai";"Pune";"Bengaluru"}, RANDBETWEEN(1,5))</f>
        <v>Delhi</v>
      </c>
      <c r="D323" s="4" t="str" cm="1">
        <f t="array" aca="1" ref="D323" ca="1">INDEX({"C-Class";"E-Class";"S-Class";"GLA";"GLC";"GLE";"GLS";"EQB"}, RANDBETWEEN(1,8))</f>
        <v>GLE</v>
      </c>
      <c r="E323" s="4" t="str">
        <f t="shared" ca="1" si="37"/>
        <v>SUV</v>
      </c>
      <c r="F323" s="4">
        <f t="shared" ca="1" si="38"/>
        <v>4</v>
      </c>
      <c r="G323" s="8">
        <f t="shared" ca="1" si="39"/>
        <v>11652174</v>
      </c>
      <c r="H323" s="8">
        <f t="shared" ca="1" si="40"/>
        <v>46608696</v>
      </c>
      <c r="I323" s="8">
        <f t="shared" ca="1" si="41"/>
        <v>33558261.119999997</v>
      </c>
      <c r="J323" s="8">
        <f t="shared" ca="1" si="42"/>
        <v>13050434.880000003</v>
      </c>
      <c r="K323" s="6">
        <f t="shared" ca="1" si="43"/>
        <v>0.28000000000000008</v>
      </c>
      <c r="L323" s="4" t="str" cm="1">
        <f t="array" aca="1" ref="L32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323" s="8">
        <f t="shared" ca="1" si="44"/>
        <v>15759</v>
      </c>
      <c r="N323" s="4" t="str" cm="1">
        <f t="array" aca="1" ref="N323" ca="1">INDEX({"New";"Repeat"}, RANDBETWEEN(1,2))</f>
        <v>New</v>
      </c>
      <c r="O323" s="4" t="str" cm="1">
        <f t="array" aca="1" ref="O323" ca="1">INDEX({"Loan";"Cash";"Lease"}, RANDBETWEEN(1,3))</f>
        <v>Lease</v>
      </c>
    </row>
    <row r="324" spans="1:15" x14ac:dyDescent="0.2">
      <c r="A324" s="4">
        <v>322</v>
      </c>
      <c r="B324" s="5">
        <f t="shared" ref="B324:B387" ca="1" si="45">RANDBETWEEN(DATE(2023,1,1),DATE(2025,9,1))</f>
        <v>45795</v>
      </c>
      <c r="C324" s="4" t="str" cm="1">
        <f t="array" aca="1" ref="C324" ca="1">INDEX({"Cochin";"Delhi";"Mumbai";"Pune";"Bengaluru"}, RANDBETWEEN(1,5))</f>
        <v>Pune</v>
      </c>
      <c r="D324" s="4" t="str" cm="1">
        <f t="array" aca="1" ref="D324" ca="1">INDEX({"C-Class";"E-Class";"S-Class";"GLA";"GLC";"GLE";"GLS";"EQB"}, RANDBETWEEN(1,8))</f>
        <v>GLC</v>
      </c>
      <c r="E324" s="4" t="str">
        <f t="shared" ref="E324:E387" ca="1" si="46">IF(D324="EQB","EV", IF(OR(D324="GLA",D324="GLC",D324="GLE",D324="GLS"),"SUV","Sedan"))</f>
        <v>SUV</v>
      </c>
      <c r="F324" s="4">
        <f t="shared" ref="F324:F387" ca="1" si="47">RANDBETWEEN(1,5)</f>
        <v>1</v>
      </c>
      <c r="G324" s="8">
        <f t="shared" ref="G324:G387" ca="1" si="48">IF(D324="C-Class",RANDBETWEEN(5500000,7000000),
IF(D324="E-Class",RANDBETWEEN(7500000,9500000),
IF(D324="S-Class",RANDBETWEEN(15000000,25000000),
IF(D324="GLA",RANDBETWEEN(4500000,5500000),
IF(D324="GLC",RANDBETWEEN(6500000,7500000),
IF(D324="GLE",RANDBETWEEN(9000000,13000000),
IF(D324="GLS",RANDBETWEEN(13000000,18000000),
IF(D324="EQB",RANDBETWEEN(7000000,8000000)))))))))</f>
        <v>7221873</v>
      </c>
      <c r="H324" s="8">
        <f t="shared" ref="H324:H387" ca="1" si="49">F324*G324</f>
        <v>7221873</v>
      </c>
      <c r="I324" s="8">
        <f t="shared" ref="I324:I387" ca="1" si="50">G324 *F324* RANDBETWEEN(70,85) / 100</f>
        <v>5488623.4800000004</v>
      </c>
      <c r="J324" s="8">
        <f t="shared" ref="J324:J387" ca="1" si="51">H324 -I324</f>
        <v>1733249.5199999996</v>
      </c>
      <c r="K324" s="6">
        <f t="shared" ref="K324:K387" ca="1" si="52">J324/H324</f>
        <v>0.23999999999999994</v>
      </c>
      <c r="L324" s="4" t="str" cm="1">
        <f t="array" aca="1" ref="L32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24" s="8">
        <f t="shared" ref="M324:M387" ca="1" si="53">IF(N324="New", RANDBETWEEN(10000,25000), RANDBETWEEN(3000,8000))</f>
        <v>3668</v>
      </c>
      <c r="N324" s="4" t="str" cm="1">
        <f t="array" aca="1" ref="N324" ca="1">INDEX({"New";"Repeat"}, RANDBETWEEN(1,2))</f>
        <v>Repeat</v>
      </c>
      <c r="O324" s="4" t="str" cm="1">
        <f t="array" aca="1" ref="O324" ca="1">INDEX({"Loan";"Cash";"Lease"}, RANDBETWEEN(1,3))</f>
        <v>Lease</v>
      </c>
    </row>
    <row r="325" spans="1:15" x14ac:dyDescent="0.2">
      <c r="A325" s="4">
        <v>323</v>
      </c>
      <c r="B325" s="5">
        <f t="shared" ca="1" si="45"/>
        <v>45662</v>
      </c>
      <c r="C325" s="4" t="str" cm="1">
        <f t="array" aca="1" ref="C325" ca="1">INDEX({"Cochin";"Delhi";"Mumbai";"Pune";"Bengaluru"}, RANDBETWEEN(1,5))</f>
        <v>Cochin</v>
      </c>
      <c r="D325" s="4" t="str" cm="1">
        <f t="array" aca="1" ref="D325" ca="1">INDEX({"C-Class";"E-Class";"S-Class";"GLA";"GLC";"GLE";"GLS";"EQB"}, RANDBETWEEN(1,8))</f>
        <v>S-Class</v>
      </c>
      <c r="E325" s="4" t="str">
        <f t="shared" ca="1" si="46"/>
        <v>Sedan</v>
      </c>
      <c r="F325" s="4">
        <f t="shared" ca="1" si="47"/>
        <v>5</v>
      </c>
      <c r="G325" s="8">
        <f t="shared" ca="1" si="48"/>
        <v>22650320</v>
      </c>
      <c r="H325" s="8">
        <f t="shared" ca="1" si="49"/>
        <v>113251600</v>
      </c>
      <c r="I325" s="8">
        <f t="shared" ca="1" si="50"/>
        <v>79276120</v>
      </c>
      <c r="J325" s="8">
        <f t="shared" ca="1" si="51"/>
        <v>33975480</v>
      </c>
      <c r="K325" s="6">
        <f t="shared" ca="1" si="52"/>
        <v>0.3</v>
      </c>
      <c r="L325" s="4" t="str" cm="1">
        <f t="array" aca="1" ref="L32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25" s="8">
        <f t="shared" ca="1" si="53"/>
        <v>10858</v>
      </c>
      <c r="N325" s="4" t="str" cm="1">
        <f t="array" aca="1" ref="N325" ca="1">INDEX({"New";"Repeat"}, RANDBETWEEN(1,2))</f>
        <v>New</v>
      </c>
      <c r="O325" s="4" t="str" cm="1">
        <f t="array" aca="1" ref="O325" ca="1">INDEX({"Loan";"Cash";"Lease"}, RANDBETWEEN(1,3))</f>
        <v>Lease</v>
      </c>
    </row>
    <row r="326" spans="1:15" x14ac:dyDescent="0.2">
      <c r="A326" s="4">
        <v>324</v>
      </c>
      <c r="B326" s="5">
        <f t="shared" ca="1" si="45"/>
        <v>45719</v>
      </c>
      <c r="C326" s="4" t="str" cm="1">
        <f t="array" aca="1" ref="C326" ca="1">INDEX({"Cochin";"Delhi";"Mumbai";"Pune";"Bengaluru"}, RANDBETWEEN(1,5))</f>
        <v>Mumbai</v>
      </c>
      <c r="D326" s="4" t="str" cm="1">
        <f t="array" aca="1" ref="D326" ca="1">INDEX({"C-Class";"E-Class";"S-Class";"GLA";"GLC";"GLE";"GLS";"EQB"}, RANDBETWEEN(1,8))</f>
        <v>GLC</v>
      </c>
      <c r="E326" s="4" t="str">
        <f t="shared" ca="1" si="46"/>
        <v>SUV</v>
      </c>
      <c r="F326" s="4">
        <f t="shared" ca="1" si="47"/>
        <v>2</v>
      </c>
      <c r="G326" s="8">
        <f t="shared" ca="1" si="48"/>
        <v>7424320</v>
      </c>
      <c r="H326" s="8">
        <f t="shared" ca="1" si="49"/>
        <v>14848640</v>
      </c>
      <c r="I326" s="8">
        <f t="shared" ca="1" si="50"/>
        <v>11878912</v>
      </c>
      <c r="J326" s="8">
        <f t="shared" ca="1" si="51"/>
        <v>2969728</v>
      </c>
      <c r="K326" s="6">
        <f t="shared" ca="1" si="52"/>
        <v>0.2</v>
      </c>
      <c r="L326" s="4" t="str" cm="1">
        <f t="array" aca="1" ref="L32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26" s="8">
        <f t="shared" ca="1" si="53"/>
        <v>17443</v>
      </c>
      <c r="N326" s="4" t="str" cm="1">
        <f t="array" aca="1" ref="N326" ca="1">INDEX({"New";"Repeat"}, RANDBETWEEN(1,2))</f>
        <v>New</v>
      </c>
      <c r="O326" s="4" t="str" cm="1">
        <f t="array" aca="1" ref="O326" ca="1">INDEX({"Loan";"Cash";"Lease"}, RANDBETWEEN(1,3))</f>
        <v>Lease</v>
      </c>
    </row>
    <row r="327" spans="1:15" x14ac:dyDescent="0.2">
      <c r="A327" s="4">
        <v>325</v>
      </c>
      <c r="B327" s="5">
        <f t="shared" ca="1" si="45"/>
        <v>45368</v>
      </c>
      <c r="C327" s="4" t="str" cm="1">
        <f t="array" aca="1" ref="C327" ca="1">INDEX({"Cochin";"Delhi";"Mumbai";"Pune";"Bengaluru"}, RANDBETWEEN(1,5))</f>
        <v>Bengaluru</v>
      </c>
      <c r="D327" s="4" t="str" cm="1">
        <f t="array" aca="1" ref="D327" ca="1">INDEX({"C-Class";"E-Class";"S-Class";"GLA";"GLC";"GLE";"GLS";"EQB"}, RANDBETWEEN(1,8))</f>
        <v>GLC</v>
      </c>
      <c r="E327" s="4" t="str">
        <f t="shared" ca="1" si="46"/>
        <v>SUV</v>
      </c>
      <c r="F327" s="4">
        <f t="shared" ca="1" si="47"/>
        <v>2</v>
      </c>
      <c r="G327" s="8">
        <f t="shared" ca="1" si="48"/>
        <v>6816918</v>
      </c>
      <c r="H327" s="8">
        <f t="shared" ca="1" si="49"/>
        <v>13633836</v>
      </c>
      <c r="I327" s="8">
        <f t="shared" ca="1" si="50"/>
        <v>10498053.720000001</v>
      </c>
      <c r="J327" s="8">
        <f t="shared" ca="1" si="51"/>
        <v>3135782.2799999993</v>
      </c>
      <c r="K327" s="6">
        <f t="shared" ca="1" si="52"/>
        <v>0.22999999999999995</v>
      </c>
      <c r="L327" s="4" t="str" cm="1">
        <f t="array" aca="1" ref="L32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27" s="8">
        <f t="shared" ca="1" si="53"/>
        <v>19211</v>
      </c>
      <c r="N327" s="4" t="str" cm="1">
        <f t="array" aca="1" ref="N327" ca="1">INDEX({"New";"Repeat"}, RANDBETWEEN(1,2))</f>
        <v>New</v>
      </c>
      <c r="O327" s="4" t="str" cm="1">
        <f t="array" aca="1" ref="O327" ca="1">INDEX({"Loan";"Cash";"Lease"}, RANDBETWEEN(1,3))</f>
        <v>Loan</v>
      </c>
    </row>
    <row r="328" spans="1:15" x14ac:dyDescent="0.2">
      <c r="A328" s="4">
        <v>326</v>
      </c>
      <c r="B328" s="5">
        <f t="shared" ca="1" si="45"/>
        <v>45828</v>
      </c>
      <c r="C328" s="4" t="str" cm="1">
        <f t="array" aca="1" ref="C328" ca="1">INDEX({"Cochin";"Delhi";"Mumbai";"Pune";"Bengaluru"}, RANDBETWEEN(1,5))</f>
        <v>Mumbai</v>
      </c>
      <c r="D328" s="4" t="str" cm="1">
        <f t="array" aca="1" ref="D328" ca="1">INDEX({"C-Class";"E-Class";"S-Class";"GLA";"GLC";"GLE";"GLS";"EQB"}, RANDBETWEEN(1,8))</f>
        <v>GLS</v>
      </c>
      <c r="E328" s="4" t="str">
        <f t="shared" ca="1" si="46"/>
        <v>SUV</v>
      </c>
      <c r="F328" s="4">
        <f t="shared" ca="1" si="47"/>
        <v>2</v>
      </c>
      <c r="G328" s="8">
        <f t="shared" ca="1" si="48"/>
        <v>17240438</v>
      </c>
      <c r="H328" s="8">
        <f t="shared" ca="1" si="49"/>
        <v>34480876</v>
      </c>
      <c r="I328" s="8">
        <f t="shared" ca="1" si="50"/>
        <v>24481421.960000001</v>
      </c>
      <c r="J328" s="8">
        <f t="shared" ca="1" si="51"/>
        <v>9999454.0399999991</v>
      </c>
      <c r="K328" s="6">
        <f t="shared" ca="1" si="52"/>
        <v>0.28999999999999998</v>
      </c>
      <c r="L328" s="4" t="str" cm="1">
        <f t="array" aca="1" ref="L32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28" s="8">
        <f t="shared" ca="1" si="53"/>
        <v>7265</v>
      </c>
      <c r="N328" s="4" t="str" cm="1">
        <f t="array" aca="1" ref="N328" ca="1">INDEX({"New";"Repeat"}, RANDBETWEEN(1,2))</f>
        <v>Repeat</v>
      </c>
      <c r="O328" s="4" t="str" cm="1">
        <f t="array" aca="1" ref="O328" ca="1">INDEX({"Loan";"Cash";"Lease"}, RANDBETWEEN(1,3))</f>
        <v>Loan</v>
      </c>
    </row>
    <row r="329" spans="1:15" x14ac:dyDescent="0.2">
      <c r="A329" s="4">
        <v>327</v>
      </c>
      <c r="B329" s="5">
        <f t="shared" ca="1" si="45"/>
        <v>45079</v>
      </c>
      <c r="C329" s="4" t="str" cm="1">
        <f t="array" aca="1" ref="C329" ca="1">INDEX({"Cochin";"Delhi";"Mumbai";"Pune";"Bengaluru"}, RANDBETWEEN(1,5))</f>
        <v>Mumbai</v>
      </c>
      <c r="D329" s="4" t="str" cm="1">
        <f t="array" aca="1" ref="D329" ca="1">INDEX({"C-Class";"E-Class";"S-Class";"GLA";"GLC";"GLE";"GLS";"EQB"}, RANDBETWEEN(1,8))</f>
        <v>EQB</v>
      </c>
      <c r="E329" s="4" t="str">
        <f t="shared" ca="1" si="46"/>
        <v>EV</v>
      </c>
      <c r="F329" s="4">
        <f t="shared" ca="1" si="47"/>
        <v>3</v>
      </c>
      <c r="G329" s="8">
        <f t="shared" ca="1" si="48"/>
        <v>7876988</v>
      </c>
      <c r="H329" s="8">
        <f t="shared" ca="1" si="49"/>
        <v>23630964</v>
      </c>
      <c r="I329" s="8">
        <f t="shared" ca="1" si="50"/>
        <v>17250603.719999999</v>
      </c>
      <c r="J329" s="8">
        <f t="shared" ca="1" si="51"/>
        <v>6380360.2800000012</v>
      </c>
      <c r="K329" s="6">
        <f t="shared" ca="1" si="52"/>
        <v>0.27000000000000007</v>
      </c>
      <c r="L329" s="4" t="str" cm="1">
        <f t="array" aca="1" ref="L32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29" s="8">
        <f t="shared" ca="1" si="53"/>
        <v>24648</v>
      </c>
      <c r="N329" s="4" t="str" cm="1">
        <f t="array" aca="1" ref="N329" ca="1">INDEX({"New";"Repeat"}, RANDBETWEEN(1,2))</f>
        <v>New</v>
      </c>
      <c r="O329" s="4" t="str" cm="1">
        <f t="array" aca="1" ref="O329" ca="1">INDEX({"Loan";"Cash";"Lease"}, RANDBETWEEN(1,3))</f>
        <v>Lease</v>
      </c>
    </row>
    <row r="330" spans="1:15" x14ac:dyDescent="0.2">
      <c r="A330" s="4">
        <v>328</v>
      </c>
      <c r="B330" s="5">
        <f t="shared" ca="1" si="45"/>
        <v>45707</v>
      </c>
      <c r="C330" s="4" t="str" cm="1">
        <f t="array" aca="1" ref="C330" ca="1">INDEX({"Cochin";"Delhi";"Mumbai";"Pune";"Bengaluru"}, RANDBETWEEN(1,5))</f>
        <v>Delhi</v>
      </c>
      <c r="D330" s="4" t="str" cm="1">
        <f t="array" aca="1" ref="D330" ca="1">INDEX({"C-Class";"E-Class";"S-Class";"GLA";"GLC";"GLE";"GLS";"EQB"}, RANDBETWEEN(1,8))</f>
        <v>C-Class</v>
      </c>
      <c r="E330" s="4" t="str">
        <f t="shared" ca="1" si="46"/>
        <v>Sedan</v>
      </c>
      <c r="F330" s="4">
        <f t="shared" ca="1" si="47"/>
        <v>3</v>
      </c>
      <c r="G330" s="8">
        <f t="shared" ca="1" si="48"/>
        <v>5671809</v>
      </c>
      <c r="H330" s="8">
        <f t="shared" ca="1" si="49"/>
        <v>17015427</v>
      </c>
      <c r="I330" s="8">
        <f t="shared" ca="1" si="50"/>
        <v>13952650.140000001</v>
      </c>
      <c r="J330" s="8">
        <f t="shared" ca="1" si="51"/>
        <v>3062776.8599999994</v>
      </c>
      <c r="K330" s="6">
        <f t="shared" ca="1" si="52"/>
        <v>0.17999999999999997</v>
      </c>
      <c r="L330" s="4" t="str" cm="1">
        <f t="array" aca="1" ref="L33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330" s="8">
        <f t="shared" ca="1" si="53"/>
        <v>4915</v>
      </c>
      <c r="N330" s="4" t="str" cm="1">
        <f t="array" aca="1" ref="N330" ca="1">INDEX({"New";"Repeat"}, RANDBETWEEN(1,2))</f>
        <v>Repeat</v>
      </c>
      <c r="O330" s="4" t="str" cm="1">
        <f t="array" aca="1" ref="O330" ca="1">INDEX({"Loan";"Cash";"Lease"}, RANDBETWEEN(1,3))</f>
        <v>Loan</v>
      </c>
    </row>
    <row r="331" spans="1:15" x14ac:dyDescent="0.2">
      <c r="A331" s="4">
        <v>329</v>
      </c>
      <c r="B331" s="5">
        <f t="shared" ca="1" si="45"/>
        <v>44994</v>
      </c>
      <c r="C331" s="4" t="str" cm="1">
        <f t="array" aca="1" ref="C331" ca="1">INDEX({"Cochin";"Delhi";"Mumbai";"Pune";"Bengaluru"}, RANDBETWEEN(1,5))</f>
        <v>Bengaluru</v>
      </c>
      <c r="D331" s="4" t="str" cm="1">
        <f t="array" aca="1" ref="D331" ca="1">INDEX({"C-Class";"E-Class";"S-Class";"GLA";"GLC";"GLE";"GLS";"EQB"}, RANDBETWEEN(1,8))</f>
        <v>GLA</v>
      </c>
      <c r="E331" s="4" t="str">
        <f t="shared" ca="1" si="46"/>
        <v>SUV</v>
      </c>
      <c r="F331" s="4">
        <f t="shared" ca="1" si="47"/>
        <v>1</v>
      </c>
      <c r="G331" s="8">
        <f t="shared" ca="1" si="48"/>
        <v>4537994</v>
      </c>
      <c r="H331" s="8">
        <f t="shared" ca="1" si="49"/>
        <v>4537994</v>
      </c>
      <c r="I331" s="8">
        <f t="shared" ca="1" si="50"/>
        <v>3358115.56</v>
      </c>
      <c r="J331" s="8">
        <f t="shared" ca="1" si="51"/>
        <v>1179878.44</v>
      </c>
      <c r="K331" s="6">
        <f t="shared" ca="1" si="52"/>
        <v>0.26</v>
      </c>
      <c r="L331" s="4" t="str" cm="1">
        <f t="array" aca="1" ref="L33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331" s="8">
        <f t="shared" ca="1" si="53"/>
        <v>18185</v>
      </c>
      <c r="N331" s="4" t="str" cm="1">
        <f t="array" aca="1" ref="N331" ca="1">INDEX({"New";"Repeat"}, RANDBETWEEN(1,2))</f>
        <v>New</v>
      </c>
      <c r="O331" s="4" t="str" cm="1">
        <f t="array" aca="1" ref="O331" ca="1">INDEX({"Loan";"Cash";"Lease"}, RANDBETWEEN(1,3))</f>
        <v>Cash</v>
      </c>
    </row>
    <row r="332" spans="1:15" x14ac:dyDescent="0.2">
      <c r="A332" s="4">
        <v>330</v>
      </c>
      <c r="B332" s="5">
        <f t="shared" ca="1" si="45"/>
        <v>45558</v>
      </c>
      <c r="C332" s="4" t="str" cm="1">
        <f t="array" aca="1" ref="C332" ca="1">INDEX({"Cochin";"Delhi";"Mumbai";"Pune";"Bengaluru"}, RANDBETWEEN(1,5))</f>
        <v>Pune</v>
      </c>
      <c r="D332" s="4" t="str" cm="1">
        <f t="array" aca="1" ref="D332" ca="1">INDEX({"C-Class";"E-Class";"S-Class";"GLA";"GLC";"GLE";"GLS";"EQB"}, RANDBETWEEN(1,8))</f>
        <v>GLS</v>
      </c>
      <c r="E332" s="4" t="str">
        <f t="shared" ca="1" si="46"/>
        <v>SUV</v>
      </c>
      <c r="F332" s="4">
        <f t="shared" ca="1" si="47"/>
        <v>3</v>
      </c>
      <c r="G332" s="8">
        <f t="shared" ca="1" si="48"/>
        <v>17930939</v>
      </c>
      <c r="H332" s="8">
        <f t="shared" ca="1" si="49"/>
        <v>53792817</v>
      </c>
      <c r="I332" s="8">
        <f t="shared" ca="1" si="50"/>
        <v>39806684.579999998</v>
      </c>
      <c r="J332" s="8">
        <f t="shared" ca="1" si="51"/>
        <v>13986132.420000002</v>
      </c>
      <c r="K332" s="6">
        <f t="shared" ca="1" si="52"/>
        <v>0.26</v>
      </c>
      <c r="L332" s="4" t="str" cm="1">
        <f t="array" aca="1" ref="L33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32" s="8">
        <f t="shared" ca="1" si="53"/>
        <v>23053</v>
      </c>
      <c r="N332" s="4" t="str" cm="1">
        <f t="array" aca="1" ref="N332" ca="1">INDEX({"New";"Repeat"}, RANDBETWEEN(1,2))</f>
        <v>New</v>
      </c>
      <c r="O332" s="4" t="str" cm="1">
        <f t="array" aca="1" ref="O332" ca="1">INDEX({"Loan";"Cash";"Lease"}, RANDBETWEEN(1,3))</f>
        <v>Loan</v>
      </c>
    </row>
    <row r="333" spans="1:15" x14ac:dyDescent="0.2">
      <c r="A333" s="4">
        <v>331</v>
      </c>
      <c r="B333" s="5">
        <f t="shared" ca="1" si="45"/>
        <v>45533</v>
      </c>
      <c r="C333" s="4" t="str" cm="1">
        <f t="array" aca="1" ref="C333" ca="1">INDEX({"Cochin";"Delhi";"Mumbai";"Pune";"Bengaluru"}, RANDBETWEEN(1,5))</f>
        <v>Pune</v>
      </c>
      <c r="D333" s="4" t="str" cm="1">
        <f t="array" aca="1" ref="D333" ca="1">INDEX({"C-Class";"E-Class";"S-Class";"GLA";"GLC";"GLE";"GLS";"EQB"}, RANDBETWEEN(1,8))</f>
        <v>GLS</v>
      </c>
      <c r="E333" s="4" t="str">
        <f t="shared" ca="1" si="46"/>
        <v>SUV</v>
      </c>
      <c r="F333" s="4">
        <f t="shared" ca="1" si="47"/>
        <v>1</v>
      </c>
      <c r="G333" s="8">
        <f t="shared" ca="1" si="48"/>
        <v>14070293</v>
      </c>
      <c r="H333" s="8">
        <f t="shared" ca="1" si="49"/>
        <v>14070293</v>
      </c>
      <c r="I333" s="8">
        <f t="shared" ca="1" si="50"/>
        <v>10130610.960000001</v>
      </c>
      <c r="J333" s="8">
        <f t="shared" ca="1" si="51"/>
        <v>3939682.0399999991</v>
      </c>
      <c r="K333" s="6">
        <f t="shared" ca="1" si="52"/>
        <v>0.27999999999999992</v>
      </c>
      <c r="L333" s="4" t="str" cm="1">
        <f t="array" aca="1" ref="L33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33" s="8">
        <f t="shared" ca="1" si="53"/>
        <v>12251</v>
      </c>
      <c r="N333" s="4" t="str" cm="1">
        <f t="array" aca="1" ref="N333" ca="1">INDEX({"New";"Repeat"}, RANDBETWEEN(1,2))</f>
        <v>New</v>
      </c>
      <c r="O333" s="4" t="str" cm="1">
        <f t="array" aca="1" ref="O333" ca="1">INDEX({"Loan";"Cash";"Lease"}, RANDBETWEEN(1,3))</f>
        <v>Loan</v>
      </c>
    </row>
    <row r="334" spans="1:15" x14ac:dyDescent="0.2">
      <c r="A334" s="4">
        <v>332</v>
      </c>
      <c r="B334" s="5">
        <f t="shared" ca="1" si="45"/>
        <v>45679</v>
      </c>
      <c r="C334" s="4" t="str" cm="1">
        <f t="array" aca="1" ref="C334" ca="1">INDEX({"Cochin";"Delhi";"Mumbai";"Pune";"Bengaluru"}, RANDBETWEEN(1,5))</f>
        <v>Cochin</v>
      </c>
      <c r="D334" s="4" t="str" cm="1">
        <f t="array" aca="1" ref="D334" ca="1">INDEX({"C-Class";"E-Class";"S-Class";"GLA";"GLC";"GLE";"GLS";"EQB"}, RANDBETWEEN(1,8))</f>
        <v>GLE</v>
      </c>
      <c r="E334" s="4" t="str">
        <f t="shared" ca="1" si="46"/>
        <v>SUV</v>
      </c>
      <c r="F334" s="4">
        <f t="shared" ca="1" si="47"/>
        <v>4</v>
      </c>
      <c r="G334" s="8">
        <f t="shared" ca="1" si="48"/>
        <v>11712818</v>
      </c>
      <c r="H334" s="8">
        <f t="shared" ca="1" si="49"/>
        <v>46851272</v>
      </c>
      <c r="I334" s="8">
        <f t="shared" ca="1" si="50"/>
        <v>39823581.200000003</v>
      </c>
      <c r="J334" s="8">
        <f t="shared" ca="1" si="51"/>
        <v>7027690.799999997</v>
      </c>
      <c r="K334" s="6">
        <f t="shared" ca="1" si="52"/>
        <v>0.14999999999999994</v>
      </c>
      <c r="L334" s="4" t="str" cm="1">
        <f t="array" aca="1" ref="L33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34" s="8">
        <f t="shared" ca="1" si="53"/>
        <v>3342</v>
      </c>
      <c r="N334" s="4" t="str" cm="1">
        <f t="array" aca="1" ref="N334" ca="1">INDEX({"New";"Repeat"}, RANDBETWEEN(1,2))</f>
        <v>Repeat</v>
      </c>
      <c r="O334" s="4" t="str" cm="1">
        <f t="array" aca="1" ref="O334" ca="1">INDEX({"Loan";"Cash";"Lease"}, RANDBETWEEN(1,3))</f>
        <v>Loan</v>
      </c>
    </row>
    <row r="335" spans="1:15" x14ac:dyDescent="0.2">
      <c r="A335" s="4">
        <v>333</v>
      </c>
      <c r="B335" s="5">
        <f t="shared" ca="1" si="45"/>
        <v>45318</v>
      </c>
      <c r="C335" s="4" t="str" cm="1">
        <f t="array" aca="1" ref="C335" ca="1">INDEX({"Cochin";"Delhi";"Mumbai";"Pune";"Bengaluru"}, RANDBETWEEN(1,5))</f>
        <v>Bengaluru</v>
      </c>
      <c r="D335" s="4" t="str" cm="1">
        <f t="array" aca="1" ref="D335" ca="1">INDEX({"C-Class";"E-Class";"S-Class";"GLA";"GLC";"GLE";"GLS";"EQB"}, RANDBETWEEN(1,8))</f>
        <v>E-Class</v>
      </c>
      <c r="E335" s="4" t="str">
        <f t="shared" ca="1" si="46"/>
        <v>Sedan</v>
      </c>
      <c r="F335" s="4">
        <f t="shared" ca="1" si="47"/>
        <v>2</v>
      </c>
      <c r="G335" s="8">
        <f t="shared" ca="1" si="48"/>
        <v>7702555</v>
      </c>
      <c r="H335" s="8">
        <f t="shared" ca="1" si="49"/>
        <v>15405110</v>
      </c>
      <c r="I335" s="8">
        <f t="shared" ca="1" si="50"/>
        <v>12170036.9</v>
      </c>
      <c r="J335" s="8">
        <f t="shared" ca="1" si="51"/>
        <v>3235073.0999999996</v>
      </c>
      <c r="K335" s="6">
        <f t="shared" ca="1" si="52"/>
        <v>0.20999999999999996</v>
      </c>
      <c r="L335" s="4" t="str" cm="1">
        <f t="array" aca="1" ref="L335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335" s="8">
        <f t="shared" ca="1" si="53"/>
        <v>4158</v>
      </c>
      <c r="N335" s="4" t="str" cm="1">
        <f t="array" aca="1" ref="N335" ca="1">INDEX({"New";"Repeat"}, RANDBETWEEN(1,2))</f>
        <v>Repeat</v>
      </c>
      <c r="O335" s="4" t="str" cm="1">
        <f t="array" aca="1" ref="O335" ca="1">INDEX({"Loan";"Cash";"Lease"}, RANDBETWEEN(1,3))</f>
        <v>Cash</v>
      </c>
    </row>
    <row r="336" spans="1:15" x14ac:dyDescent="0.2">
      <c r="A336" s="4">
        <v>334</v>
      </c>
      <c r="B336" s="5">
        <f t="shared" ca="1" si="45"/>
        <v>45486</v>
      </c>
      <c r="C336" s="4" t="str" cm="1">
        <f t="array" aca="1" ref="C336" ca="1">INDEX({"Cochin";"Delhi";"Mumbai";"Pune";"Bengaluru"}, RANDBETWEEN(1,5))</f>
        <v>Pune</v>
      </c>
      <c r="D336" s="4" t="str" cm="1">
        <f t="array" aca="1" ref="D336" ca="1">INDEX({"C-Class";"E-Class";"S-Class";"GLA";"GLC";"GLE";"GLS";"EQB"}, RANDBETWEEN(1,8))</f>
        <v>GLE</v>
      </c>
      <c r="E336" s="4" t="str">
        <f t="shared" ca="1" si="46"/>
        <v>SUV</v>
      </c>
      <c r="F336" s="4">
        <f t="shared" ca="1" si="47"/>
        <v>1</v>
      </c>
      <c r="G336" s="8">
        <f t="shared" ca="1" si="48"/>
        <v>10038883</v>
      </c>
      <c r="H336" s="8">
        <f t="shared" ca="1" si="49"/>
        <v>10038883</v>
      </c>
      <c r="I336" s="8">
        <f t="shared" ca="1" si="50"/>
        <v>7729939.9100000001</v>
      </c>
      <c r="J336" s="8">
        <f t="shared" ca="1" si="51"/>
        <v>2308943.09</v>
      </c>
      <c r="K336" s="6">
        <f t="shared" ca="1" si="52"/>
        <v>0.22999999999999998</v>
      </c>
      <c r="L336" s="4" t="str" cm="1">
        <f t="array" aca="1" ref="L33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336" s="8">
        <f t="shared" ca="1" si="53"/>
        <v>7091</v>
      </c>
      <c r="N336" s="4" t="str" cm="1">
        <f t="array" aca="1" ref="N336" ca="1">INDEX({"New";"Repeat"}, RANDBETWEEN(1,2))</f>
        <v>Repeat</v>
      </c>
      <c r="O336" s="4" t="str" cm="1">
        <f t="array" aca="1" ref="O336" ca="1">INDEX({"Loan";"Cash";"Lease"}, RANDBETWEEN(1,3))</f>
        <v>Loan</v>
      </c>
    </row>
    <row r="337" spans="1:15" x14ac:dyDescent="0.2">
      <c r="A337" s="4">
        <v>335</v>
      </c>
      <c r="B337" s="5">
        <f t="shared" ca="1" si="45"/>
        <v>45829</v>
      </c>
      <c r="C337" s="4" t="str" cm="1">
        <f t="array" aca="1" ref="C337" ca="1">INDEX({"Cochin";"Delhi";"Mumbai";"Pune";"Bengaluru"}, RANDBETWEEN(1,5))</f>
        <v>Pune</v>
      </c>
      <c r="D337" s="4" t="str" cm="1">
        <f t="array" aca="1" ref="D337" ca="1">INDEX({"C-Class";"E-Class";"S-Class";"GLA";"GLC";"GLE";"GLS";"EQB"}, RANDBETWEEN(1,8))</f>
        <v>C-Class</v>
      </c>
      <c r="E337" s="4" t="str">
        <f t="shared" ca="1" si="46"/>
        <v>Sedan</v>
      </c>
      <c r="F337" s="4">
        <f t="shared" ca="1" si="47"/>
        <v>2</v>
      </c>
      <c r="G337" s="8">
        <f t="shared" ca="1" si="48"/>
        <v>6040162</v>
      </c>
      <c r="H337" s="8">
        <f t="shared" ca="1" si="49"/>
        <v>12080324</v>
      </c>
      <c r="I337" s="8">
        <f t="shared" ca="1" si="50"/>
        <v>9422652.7200000007</v>
      </c>
      <c r="J337" s="8">
        <f t="shared" ca="1" si="51"/>
        <v>2657671.2799999993</v>
      </c>
      <c r="K337" s="6">
        <f t="shared" ca="1" si="52"/>
        <v>0.21999999999999995</v>
      </c>
      <c r="L337" s="4" t="str" cm="1">
        <f t="array" aca="1" ref="L33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37" s="8">
        <f t="shared" ca="1" si="53"/>
        <v>4631</v>
      </c>
      <c r="N337" s="4" t="str" cm="1">
        <f t="array" aca="1" ref="N337" ca="1">INDEX({"New";"Repeat"}, RANDBETWEEN(1,2))</f>
        <v>Repeat</v>
      </c>
      <c r="O337" s="4" t="str" cm="1">
        <f t="array" aca="1" ref="O337" ca="1">INDEX({"Loan";"Cash";"Lease"}, RANDBETWEEN(1,3))</f>
        <v>Cash</v>
      </c>
    </row>
    <row r="338" spans="1:15" x14ac:dyDescent="0.2">
      <c r="A338" s="4">
        <v>336</v>
      </c>
      <c r="B338" s="5">
        <f t="shared" ca="1" si="45"/>
        <v>45785</v>
      </c>
      <c r="C338" s="4" t="str" cm="1">
        <f t="array" aca="1" ref="C338" ca="1">INDEX({"Cochin";"Delhi";"Mumbai";"Pune";"Bengaluru"}, RANDBETWEEN(1,5))</f>
        <v>Pune</v>
      </c>
      <c r="D338" s="4" t="str" cm="1">
        <f t="array" aca="1" ref="D338" ca="1">INDEX({"C-Class";"E-Class";"S-Class";"GLA";"GLC";"GLE";"GLS";"EQB"}, RANDBETWEEN(1,8))</f>
        <v>GLS</v>
      </c>
      <c r="E338" s="4" t="str">
        <f t="shared" ca="1" si="46"/>
        <v>SUV</v>
      </c>
      <c r="F338" s="4">
        <f t="shared" ca="1" si="47"/>
        <v>5</v>
      </c>
      <c r="G338" s="8">
        <f t="shared" ca="1" si="48"/>
        <v>17692207</v>
      </c>
      <c r="H338" s="8">
        <f t="shared" ca="1" si="49"/>
        <v>88461035</v>
      </c>
      <c r="I338" s="8">
        <f t="shared" ca="1" si="50"/>
        <v>63691945.200000003</v>
      </c>
      <c r="J338" s="8">
        <f t="shared" ca="1" si="51"/>
        <v>24769089.799999997</v>
      </c>
      <c r="K338" s="6">
        <f t="shared" ca="1" si="52"/>
        <v>0.27999999999999997</v>
      </c>
      <c r="L338" s="4" t="str" cm="1">
        <f t="array" aca="1" ref="L338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38" s="8">
        <f t="shared" ca="1" si="53"/>
        <v>3089</v>
      </c>
      <c r="N338" s="4" t="str" cm="1">
        <f t="array" aca="1" ref="N338" ca="1">INDEX({"New";"Repeat"}, RANDBETWEEN(1,2))</f>
        <v>Repeat</v>
      </c>
      <c r="O338" s="4" t="str" cm="1">
        <f t="array" aca="1" ref="O338" ca="1">INDEX({"Loan";"Cash";"Lease"}, RANDBETWEEN(1,3))</f>
        <v>Cash</v>
      </c>
    </row>
    <row r="339" spans="1:15" x14ac:dyDescent="0.2">
      <c r="A339" s="4">
        <v>337</v>
      </c>
      <c r="B339" s="5">
        <f t="shared" ca="1" si="45"/>
        <v>45860</v>
      </c>
      <c r="C339" s="4" t="str" cm="1">
        <f t="array" aca="1" ref="C339" ca="1">INDEX({"Cochin";"Delhi";"Mumbai";"Pune";"Bengaluru"}, RANDBETWEEN(1,5))</f>
        <v>Cochin</v>
      </c>
      <c r="D339" s="4" t="str" cm="1">
        <f t="array" aca="1" ref="D339" ca="1">INDEX({"C-Class";"E-Class";"S-Class";"GLA";"GLC";"GLE";"GLS";"EQB"}, RANDBETWEEN(1,8))</f>
        <v>EQB</v>
      </c>
      <c r="E339" s="4" t="str">
        <f t="shared" ca="1" si="46"/>
        <v>EV</v>
      </c>
      <c r="F339" s="4">
        <f t="shared" ca="1" si="47"/>
        <v>2</v>
      </c>
      <c r="G339" s="8">
        <f t="shared" ca="1" si="48"/>
        <v>7586754</v>
      </c>
      <c r="H339" s="8">
        <f t="shared" ca="1" si="49"/>
        <v>15173508</v>
      </c>
      <c r="I339" s="8">
        <f t="shared" ca="1" si="50"/>
        <v>12594011.640000001</v>
      </c>
      <c r="J339" s="8">
        <f t="shared" ca="1" si="51"/>
        <v>2579496.3599999994</v>
      </c>
      <c r="K339" s="6">
        <f t="shared" ca="1" si="52"/>
        <v>0.16999999999999996</v>
      </c>
      <c r="L339" s="4" t="str" cm="1">
        <f t="array" aca="1" ref="L33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339" s="8">
        <f t="shared" ca="1" si="53"/>
        <v>3092</v>
      </c>
      <c r="N339" s="4" t="str" cm="1">
        <f t="array" aca="1" ref="N339" ca="1">INDEX({"New";"Repeat"}, RANDBETWEEN(1,2))</f>
        <v>Repeat</v>
      </c>
      <c r="O339" s="4" t="str" cm="1">
        <f t="array" aca="1" ref="O339" ca="1">INDEX({"Loan";"Cash";"Lease"}, RANDBETWEEN(1,3))</f>
        <v>Loan</v>
      </c>
    </row>
    <row r="340" spans="1:15" x14ac:dyDescent="0.2">
      <c r="A340" s="4">
        <v>338</v>
      </c>
      <c r="B340" s="5">
        <f t="shared" ca="1" si="45"/>
        <v>45654</v>
      </c>
      <c r="C340" s="4" t="str" cm="1">
        <f t="array" aca="1" ref="C340" ca="1">INDEX({"Cochin";"Delhi";"Mumbai";"Pune";"Bengaluru"}, RANDBETWEEN(1,5))</f>
        <v>Cochin</v>
      </c>
      <c r="D340" s="4" t="str" cm="1">
        <f t="array" aca="1" ref="D340" ca="1">INDEX({"C-Class";"E-Class";"S-Class";"GLA";"GLC";"GLE";"GLS";"EQB"}, RANDBETWEEN(1,8))</f>
        <v>S-Class</v>
      </c>
      <c r="E340" s="4" t="str">
        <f t="shared" ca="1" si="46"/>
        <v>Sedan</v>
      </c>
      <c r="F340" s="4">
        <f t="shared" ca="1" si="47"/>
        <v>3</v>
      </c>
      <c r="G340" s="8">
        <f t="shared" ca="1" si="48"/>
        <v>23236077</v>
      </c>
      <c r="H340" s="8">
        <f t="shared" ca="1" si="49"/>
        <v>69708231</v>
      </c>
      <c r="I340" s="8">
        <f t="shared" ca="1" si="50"/>
        <v>52978255.560000002</v>
      </c>
      <c r="J340" s="8">
        <f t="shared" ca="1" si="51"/>
        <v>16729975.439999998</v>
      </c>
      <c r="K340" s="6">
        <f t="shared" ca="1" si="52"/>
        <v>0.23999999999999996</v>
      </c>
      <c r="L340" s="4" t="str" cm="1">
        <f t="array" aca="1" ref="L34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40" s="8">
        <f t="shared" ca="1" si="53"/>
        <v>3339</v>
      </c>
      <c r="N340" s="4" t="str" cm="1">
        <f t="array" aca="1" ref="N340" ca="1">INDEX({"New";"Repeat"}, RANDBETWEEN(1,2))</f>
        <v>Repeat</v>
      </c>
      <c r="O340" s="4" t="str" cm="1">
        <f t="array" aca="1" ref="O340" ca="1">INDEX({"Loan";"Cash";"Lease"}, RANDBETWEEN(1,3))</f>
        <v>Loan</v>
      </c>
    </row>
    <row r="341" spans="1:15" x14ac:dyDescent="0.2">
      <c r="A341" s="4">
        <v>339</v>
      </c>
      <c r="B341" s="5">
        <f t="shared" ca="1" si="45"/>
        <v>45728</v>
      </c>
      <c r="C341" s="4" t="str" cm="1">
        <f t="array" aca="1" ref="C341" ca="1">INDEX({"Cochin";"Delhi";"Mumbai";"Pune";"Bengaluru"}, RANDBETWEEN(1,5))</f>
        <v>Delhi</v>
      </c>
      <c r="D341" s="4" t="str" cm="1">
        <f t="array" aca="1" ref="D341" ca="1">INDEX({"C-Class";"E-Class";"S-Class";"GLA";"GLC";"GLE";"GLS";"EQB"}, RANDBETWEEN(1,8))</f>
        <v>EQB</v>
      </c>
      <c r="E341" s="4" t="str">
        <f t="shared" ca="1" si="46"/>
        <v>EV</v>
      </c>
      <c r="F341" s="4">
        <f t="shared" ca="1" si="47"/>
        <v>1</v>
      </c>
      <c r="G341" s="8">
        <f t="shared" ca="1" si="48"/>
        <v>7263816</v>
      </c>
      <c r="H341" s="8">
        <f t="shared" ca="1" si="49"/>
        <v>7263816</v>
      </c>
      <c r="I341" s="8">
        <f t="shared" ca="1" si="50"/>
        <v>5157309.3600000003</v>
      </c>
      <c r="J341" s="8">
        <f t="shared" ca="1" si="51"/>
        <v>2106506.6399999997</v>
      </c>
      <c r="K341" s="6">
        <f t="shared" ca="1" si="52"/>
        <v>0.28999999999999998</v>
      </c>
      <c r="L341" s="4" t="str" cm="1">
        <f t="array" aca="1" ref="L34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341" s="8">
        <f t="shared" ca="1" si="53"/>
        <v>7209</v>
      </c>
      <c r="N341" s="4" t="str" cm="1">
        <f t="array" aca="1" ref="N341" ca="1">INDEX({"New";"Repeat"}, RANDBETWEEN(1,2))</f>
        <v>Repeat</v>
      </c>
      <c r="O341" s="4" t="str" cm="1">
        <f t="array" aca="1" ref="O341" ca="1">INDEX({"Loan";"Cash";"Lease"}, RANDBETWEEN(1,3))</f>
        <v>Cash</v>
      </c>
    </row>
    <row r="342" spans="1:15" x14ac:dyDescent="0.2">
      <c r="A342" s="4">
        <v>340</v>
      </c>
      <c r="B342" s="5">
        <f t="shared" ca="1" si="45"/>
        <v>45494</v>
      </c>
      <c r="C342" s="4" t="str" cm="1">
        <f t="array" aca="1" ref="C342" ca="1">INDEX({"Cochin";"Delhi";"Mumbai";"Pune";"Bengaluru"}, RANDBETWEEN(1,5))</f>
        <v>Mumbai</v>
      </c>
      <c r="D342" s="4" t="str" cm="1">
        <f t="array" aca="1" ref="D342" ca="1">INDEX({"C-Class";"E-Class";"S-Class";"GLA";"GLC";"GLE";"GLS";"EQB"}, RANDBETWEEN(1,8))</f>
        <v>GLE</v>
      </c>
      <c r="E342" s="4" t="str">
        <f t="shared" ca="1" si="46"/>
        <v>SUV</v>
      </c>
      <c r="F342" s="4">
        <f t="shared" ca="1" si="47"/>
        <v>3</v>
      </c>
      <c r="G342" s="8">
        <f t="shared" ca="1" si="48"/>
        <v>12656585</v>
      </c>
      <c r="H342" s="8">
        <f t="shared" ca="1" si="49"/>
        <v>37969755</v>
      </c>
      <c r="I342" s="8">
        <f t="shared" ca="1" si="50"/>
        <v>31894594.199999999</v>
      </c>
      <c r="J342" s="8">
        <f t="shared" ca="1" si="51"/>
        <v>6075160.8000000007</v>
      </c>
      <c r="K342" s="6">
        <f t="shared" ca="1" si="52"/>
        <v>0.16000000000000003</v>
      </c>
      <c r="L342" s="4" t="str" cm="1">
        <f t="array" aca="1" ref="L342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42" s="8">
        <f t="shared" ca="1" si="53"/>
        <v>3796</v>
      </c>
      <c r="N342" s="4" t="str" cm="1">
        <f t="array" aca="1" ref="N342" ca="1">INDEX({"New";"Repeat"}, RANDBETWEEN(1,2))</f>
        <v>Repeat</v>
      </c>
      <c r="O342" s="4" t="str" cm="1">
        <f t="array" aca="1" ref="O342" ca="1">INDEX({"Loan";"Cash";"Lease"}, RANDBETWEEN(1,3))</f>
        <v>Cash</v>
      </c>
    </row>
    <row r="343" spans="1:15" x14ac:dyDescent="0.2">
      <c r="A343" s="4">
        <v>341</v>
      </c>
      <c r="B343" s="5">
        <f t="shared" ca="1" si="45"/>
        <v>45437</v>
      </c>
      <c r="C343" s="4" t="str" cm="1">
        <f t="array" aca="1" ref="C343" ca="1">INDEX({"Cochin";"Delhi";"Mumbai";"Pune";"Bengaluru"}, RANDBETWEEN(1,5))</f>
        <v>Mumbai</v>
      </c>
      <c r="D343" s="4" t="str" cm="1">
        <f t="array" aca="1" ref="D343" ca="1">INDEX({"C-Class";"E-Class";"S-Class";"GLA";"GLC";"GLE";"GLS";"EQB"}, RANDBETWEEN(1,8))</f>
        <v>C-Class</v>
      </c>
      <c r="E343" s="4" t="str">
        <f t="shared" ca="1" si="46"/>
        <v>Sedan</v>
      </c>
      <c r="F343" s="4">
        <f t="shared" ca="1" si="47"/>
        <v>3</v>
      </c>
      <c r="G343" s="8">
        <f t="shared" ca="1" si="48"/>
        <v>6058578</v>
      </c>
      <c r="H343" s="8">
        <f t="shared" ca="1" si="49"/>
        <v>18175734</v>
      </c>
      <c r="I343" s="8">
        <f t="shared" ca="1" si="50"/>
        <v>14722344.539999999</v>
      </c>
      <c r="J343" s="8">
        <f t="shared" ca="1" si="51"/>
        <v>3453389.4600000009</v>
      </c>
      <c r="K343" s="6">
        <f t="shared" ca="1" si="52"/>
        <v>0.19000000000000006</v>
      </c>
      <c r="L343" s="4" t="str" cm="1">
        <f t="array" aca="1" ref="L34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343" s="8">
        <f t="shared" ca="1" si="53"/>
        <v>6781</v>
      </c>
      <c r="N343" s="4" t="str" cm="1">
        <f t="array" aca="1" ref="N343" ca="1">INDEX({"New";"Repeat"}, RANDBETWEEN(1,2))</f>
        <v>Repeat</v>
      </c>
      <c r="O343" s="4" t="str" cm="1">
        <f t="array" aca="1" ref="O343" ca="1">INDEX({"Loan";"Cash";"Lease"}, RANDBETWEEN(1,3))</f>
        <v>Lease</v>
      </c>
    </row>
    <row r="344" spans="1:15" x14ac:dyDescent="0.2">
      <c r="A344" s="4">
        <v>342</v>
      </c>
      <c r="B344" s="5">
        <f t="shared" ca="1" si="45"/>
        <v>45142</v>
      </c>
      <c r="C344" s="4" t="str" cm="1">
        <f t="array" aca="1" ref="C344" ca="1">INDEX({"Cochin";"Delhi";"Mumbai";"Pune";"Bengaluru"}, RANDBETWEEN(1,5))</f>
        <v>Delhi</v>
      </c>
      <c r="D344" s="4" t="str" cm="1">
        <f t="array" aca="1" ref="D344" ca="1">INDEX({"C-Class";"E-Class";"S-Class";"GLA";"GLC";"GLE";"GLS";"EQB"}, RANDBETWEEN(1,8))</f>
        <v>C-Class</v>
      </c>
      <c r="E344" s="4" t="str">
        <f t="shared" ca="1" si="46"/>
        <v>Sedan</v>
      </c>
      <c r="F344" s="4">
        <f t="shared" ca="1" si="47"/>
        <v>2</v>
      </c>
      <c r="G344" s="8">
        <f t="shared" ca="1" si="48"/>
        <v>5528627</v>
      </c>
      <c r="H344" s="8">
        <f t="shared" ca="1" si="49"/>
        <v>11057254</v>
      </c>
      <c r="I344" s="8">
        <f t="shared" ca="1" si="50"/>
        <v>9066948.2799999993</v>
      </c>
      <c r="J344" s="8">
        <f t="shared" ca="1" si="51"/>
        <v>1990305.7200000007</v>
      </c>
      <c r="K344" s="6">
        <f t="shared" ca="1" si="52"/>
        <v>0.18000000000000005</v>
      </c>
      <c r="L344" s="4" t="str" cm="1">
        <f t="array" aca="1" ref="L344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44" s="8">
        <f t="shared" ca="1" si="53"/>
        <v>24540</v>
      </c>
      <c r="N344" s="4" t="str" cm="1">
        <f t="array" aca="1" ref="N344" ca="1">INDEX({"New";"Repeat"}, RANDBETWEEN(1,2))</f>
        <v>New</v>
      </c>
      <c r="O344" s="4" t="str" cm="1">
        <f t="array" aca="1" ref="O344" ca="1">INDEX({"Loan";"Cash";"Lease"}, RANDBETWEEN(1,3))</f>
        <v>Lease</v>
      </c>
    </row>
    <row r="345" spans="1:15" x14ac:dyDescent="0.2">
      <c r="A345" s="4">
        <v>343</v>
      </c>
      <c r="B345" s="5">
        <f t="shared" ca="1" si="45"/>
        <v>45727</v>
      </c>
      <c r="C345" s="4" t="str" cm="1">
        <f t="array" aca="1" ref="C345" ca="1">INDEX({"Cochin";"Delhi";"Mumbai";"Pune";"Bengaluru"}, RANDBETWEEN(1,5))</f>
        <v>Cochin</v>
      </c>
      <c r="D345" s="4" t="str" cm="1">
        <f t="array" aca="1" ref="D345" ca="1">INDEX({"C-Class";"E-Class";"S-Class";"GLA";"GLC";"GLE";"GLS";"EQB"}, RANDBETWEEN(1,8))</f>
        <v>GLE</v>
      </c>
      <c r="E345" s="4" t="str">
        <f t="shared" ca="1" si="46"/>
        <v>SUV</v>
      </c>
      <c r="F345" s="4">
        <f t="shared" ca="1" si="47"/>
        <v>1</v>
      </c>
      <c r="G345" s="8">
        <f t="shared" ca="1" si="48"/>
        <v>11768106</v>
      </c>
      <c r="H345" s="8">
        <f t="shared" ca="1" si="49"/>
        <v>11768106</v>
      </c>
      <c r="I345" s="8">
        <f t="shared" ca="1" si="50"/>
        <v>10002890.1</v>
      </c>
      <c r="J345" s="8">
        <f t="shared" ca="1" si="51"/>
        <v>1765215.9000000004</v>
      </c>
      <c r="K345" s="6">
        <f t="shared" ca="1" si="52"/>
        <v>0.15000000000000002</v>
      </c>
      <c r="L345" s="4" t="str" cm="1">
        <f t="array" aca="1" ref="L345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45" s="8">
        <f t="shared" ca="1" si="53"/>
        <v>6005</v>
      </c>
      <c r="N345" s="4" t="str" cm="1">
        <f t="array" aca="1" ref="N345" ca="1">INDEX({"New";"Repeat"}, RANDBETWEEN(1,2))</f>
        <v>Repeat</v>
      </c>
      <c r="O345" s="4" t="str" cm="1">
        <f t="array" aca="1" ref="O345" ca="1">INDEX({"Loan";"Cash";"Lease"}, RANDBETWEEN(1,3))</f>
        <v>Lease</v>
      </c>
    </row>
    <row r="346" spans="1:15" x14ac:dyDescent="0.2">
      <c r="A346" s="4">
        <v>344</v>
      </c>
      <c r="B346" s="5">
        <f t="shared" ca="1" si="45"/>
        <v>45347</v>
      </c>
      <c r="C346" s="4" t="str" cm="1">
        <f t="array" aca="1" ref="C346" ca="1">INDEX({"Cochin";"Delhi";"Mumbai";"Pune";"Bengaluru"}, RANDBETWEEN(1,5))</f>
        <v>Delhi</v>
      </c>
      <c r="D346" s="4" t="str" cm="1">
        <f t="array" aca="1" ref="D346" ca="1">INDEX({"C-Class";"E-Class";"S-Class";"GLA";"GLC";"GLE";"GLS";"EQB"}, RANDBETWEEN(1,8))</f>
        <v>GLE</v>
      </c>
      <c r="E346" s="4" t="str">
        <f t="shared" ca="1" si="46"/>
        <v>SUV</v>
      </c>
      <c r="F346" s="4">
        <f t="shared" ca="1" si="47"/>
        <v>4</v>
      </c>
      <c r="G346" s="8">
        <f t="shared" ca="1" si="48"/>
        <v>12344102</v>
      </c>
      <c r="H346" s="8">
        <f t="shared" ca="1" si="49"/>
        <v>49376408</v>
      </c>
      <c r="I346" s="8">
        <f t="shared" ca="1" si="50"/>
        <v>36538541.920000002</v>
      </c>
      <c r="J346" s="8">
        <f t="shared" ca="1" si="51"/>
        <v>12837866.079999998</v>
      </c>
      <c r="K346" s="6">
        <f t="shared" ca="1" si="52"/>
        <v>0.25999999999999995</v>
      </c>
      <c r="L346" s="4" t="str" cm="1">
        <f t="array" aca="1" ref="L346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346" s="8">
        <f t="shared" ca="1" si="53"/>
        <v>5987</v>
      </c>
      <c r="N346" s="4" t="str" cm="1">
        <f t="array" aca="1" ref="N346" ca="1">INDEX({"New";"Repeat"}, RANDBETWEEN(1,2))</f>
        <v>Repeat</v>
      </c>
      <c r="O346" s="4" t="str" cm="1">
        <f t="array" aca="1" ref="O346" ca="1">INDEX({"Loan";"Cash";"Lease"}, RANDBETWEEN(1,3))</f>
        <v>Lease</v>
      </c>
    </row>
    <row r="347" spans="1:15" x14ac:dyDescent="0.2">
      <c r="A347" s="4">
        <v>345</v>
      </c>
      <c r="B347" s="5">
        <f t="shared" ca="1" si="45"/>
        <v>45573</v>
      </c>
      <c r="C347" s="4" t="str" cm="1">
        <f t="array" aca="1" ref="C347" ca="1">INDEX({"Cochin";"Delhi";"Mumbai";"Pune";"Bengaluru"}, RANDBETWEEN(1,5))</f>
        <v>Cochin</v>
      </c>
      <c r="D347" s="4" t="str" cm="1">
        <f t="array" aca="1" ref="D347" ca="1">INDEX({"C-Class";"E-Class";"S-Class";"GLA";"GLC";"GLE";"GLS";"EQB"}, RANDBETWEEN(1,8))</f>
        <v>GLE</v>
      </c>
      <c r="E347" s="4" t="str">
        <f t="shared" ca="1" si="46"/>
        <v>SUV</v>
      </c>
      <c r="F347" s="4">
        <f t="shared" ca="1" si="47"/>
        <v>3</v>
      </c>
      <c r="G347" s="8">
        <f t="shared" ca="1" si="48"/>
        <v>10584945</v>
      </c>
      <c r="H347" s="8">
        <f t="shared" ca="1" si="49"/>
        <v>31754835</v>
      </c>
      <c r="I347" s="8">
        <f t="shared" ca="1" si="50"/>
        <v>23181029.550000001</v>
      </c>
      <c r="J347" s="8">
        <f t="shared" ca="1" si="51"/>
        <v>8573805.4499999993</v>
      </c>
      <c r="K347" s="6">
        <f t="shared" ca="1" si="52"/>
        <v>0.26999999999999996</v>
      </c>
      <c r="L347" s="4" t="str" cm="1">
        <f t="array" aca="1" ref="L34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347" s="8">
        <f t="shared" ca="1" si="53"/>
        <v>7473</v>
      </c>
      <c r="N347" s="4" t="str" cm="1">
        <f t="array" aca="1" ref="N347" ca="1">INDEX({"New";"Repeat"}, RANDBETWEEN(1,2))</f>
        <v>Repeat</v>
      </c>
      <c r="O347" s="4" t="str" cm="1">
        <f t="array" aca="1" ref="O347" ca="1">INDEX({"Loan";"Cash";"Lease"}, RANDBETWEEN(1,3))</f>
        <v>Cash</v>
      </c>
    </row>
    <row r="348" spans="1:15" x14ac:dyDescent="0.2">
      <c r="A348" s="4">
        <v>346</v>
      </c>
      <c r="B348" s="5">
        <f t="shared" ca="1" si="45"/>
        <v>45644</v>
      </c>
      <c r="C348" s="4" t="str" cm="1">
        <f t="array" aca="1" ref="C348" ca="1">INDEX({"Cochin";"Delhi";"Mumbai";"Pune";"Bengaluru"}, RANDBETWEEN(1,5))</f>
        <v>Bengaluru</v>
      </c>
      <c r="D348" s="4" t="str" cm="1">
        <f t="array" aca="1" ref="D348" ca="1">INDEX({"C-Class";"E-Class";"S-Class";"GLA";"GLC";"GLE";"GLS";"EQB"}, RANDBETWEEN(1,8))</f>
        <v>GLA</v>
      </c>
      <c r="E348" s="4" t="str">
        <f t="shared" ca="1" si="46"/>
        <v>SUV</v>
      </c>
      <c r="F348" s="4">
        <f t="shared" ca="1" si="47"/>
        <v>2</v>
      </c>
      <c r="G348" s="8">
        <f t="shared" ca="1" si="48"/>
        <v>5354127</v>
      </c>
      <c r="H348" s="8">
        <f t="shared" ca="1" si="49"/>
        <v>10708254</v>
      </c>
      <c r="I348" s="8">
        <f t="shared" ca="1" si="50"/>
        <v>8352438.1200000001</v>
      </c>
      <c r="J348" s="8">
        <f t="shared" ca="1" si="51"/>
        <v>2355815.88</v>
      </c>
      <c r="K348" s="6">
        <f t="shared" ca="1" si="52"/>
        <v>0.22</v>
      </c>
      <c r="L348" s="4" t="str" cm="1">
        <f t="array" aca="1" ref="L34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48" s="8">
        <f t="shared" ca="1" si="53"/>
        <v>4643</v>
      </c>
      <c r="N348" s="4" t="str" cm="1">
        <f t="array" aca="1" ref="N348" ca="1">INDEX({"New";"Repeat"}, RANDBETWEEN(1,2))</f>
        <v>Repeat</v>
      </c>
      <c r="O348" s="4" t="str" cm="1">
        <f t="array" aca="1" ref="O348" ca="1">INDEX({"Loan";"Cash";"Lease"}, RANDBETWEEN(1,3))</f>
        <v>Cash</v>
      </c>
    </row>
    <row r="349" spans="1:15" x14ac:dyDescent="0.2">
      <c r="A349" s="4">
        <v>347</v>
      </c>
      <c r="B349" s="5">
        <f t="shared" ca="1" si="45"/>
        <v>44984</v>
      </c>
      <c r="C349" s="4" t="str" cm="1">
        <f t="array" aca="1" ref="C349" ca="1">INDEX({"Cochin";"Delhi";"Mumbai";"Pune";"Bengaluru"}, RANDBETWEEN(1,5))</f>
        <v>Cochin</v>
      </c>
      <c r="D349" s="4" t="str" cm="1">
        <f t="array" aca="1" ref="D349" ca="1">INDEX({"C-Class";"E-Class";"S-Class";"GLA";"GLC";"GLE";"GLS";"EQB"}, RANDBETWEEN(1,8))</f>
        <v>GLC</v>
      </c>
      <c r="E349" s="4" t="str">
        <f t="shared" ca="1" si="46"/>
        <v>SUV</v>
      </c>
      <c r="F349" s="4">
        <f t="shared" ca="1" si="47"/>
        <v>2</v>
      </c>
      <c r="G349" s="8">
        <f t="shared" ca="1" si="48"/>
        <v>7156684</v>
      </c>
      <c r="H349" s="8">
        <f t="shared" ca="1" si="49"/>
        <v>14313368</v>
      </c>
      <c r="I349" s="8">
        <f t="shared" ca="1" si="50"/>
        <v>12023229.119999999</v>
      </c>
      <c r="J349" s="8">
        <f t="shared" ca="1" si="51"/>
        <v>2290138.8800000008</v>
      </c>
      <c r="K349" s="6">
        <f t="shared" ca="1" si="52"/>
        <v>0.16000000000000006</v>
      </c>
      <c r="L349" s="4" t="str" cm="1">
        <f t="array" aca="1" ref="L34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49" s="8">
        <f t="shared" ca="1" si="53"/>
        <v>3373</v>
      </c>
      <c r="N349" s="4" t="str" cm="1">
        <f t="array" aca="1" ref="N349" ca="1">INDEX({"New";"Repeat"}, RANDBETWEEN(1,2))</f>
        <v>Repeat</v>
      </c>
      <c r="O349" s="4" t="str" cm="1">
        <f t="array" aca="1" ref="O349" ca="1">INDEX({"Loan";"Cash";"Lease"}, RANDBETWEEN(1,3))</f>
        <v>Cash</v>
      </c>
    </row>
    <row r="350" spans="1:15" x14ac:dyDescent="0.2">
      <c r="A350" s="4">
        <v>348</v>
      </c>
      <c r="B350" s="5">
        <f t="shared" ca="1" si="45"/>
        <v>45648</v>
      </c>
      <c r="C350" s="4" t="str" cm="1">
        <f t="array" aca="1" ref="C350" ca="1">INDEX({"Cochin";"Delhi";"Mumbai";"Pune";"Bengaluru"}, RANDBETWEEN(1,5))</f>
        <v>Pune</v>
      </c>
      <c r="D350" s="4" t="str" cm="1">
        <f t="array" aca="1" ref="D350" ca="1">INDEX({"C-Class";"E-Class";"S-Class";"GLA";"GLC";"GLE";"GLS";"EQB"}, RANDBETWEEN(1,8))</f>
        <v>GLA</v>
      </c>
      <c r="E350" s="4" t="str">
        <f t="shared" ca="1" si="46"/>
        <v>SUV</v>
      </c>
      <c r="F350" s="4">
        <f t="shared" ca="1" si="47"/>
        <v>5</v>
      </c>
      <c r="G350" s="8">
        <f t="shared" ca="1" si="48"/>
        <v>4978183</v>
      </c>
      <c r="H350" s="8">
        <f t="shared" ca="1" si="49"/>
        <v>24890915</v>
      </c>
      <c r="I350" s="8">
        <f t="shared" ca="1" si="50"/>
        <v>20659459.449999999</v>
      </c>
      <c r="J350" s="8">
        <f t="shared" ca="1" si="51"/>
        <v>4231455.5500000007</v>
      </c>
      <c r="K350" s="6">
        <f t="shared" ca="1" si="52"/>
        <v>0.17000000000000004</v>
      </c>
      <c r="L350" s="4" t="str" cm="1">
        <f t="array" aca="1" ref="L35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350" s="8">
        <f t="shared" ca="1" si="53"/>
        <v>4147</v>
      </c>
      <c r="N350" s="4" t="str" cm="1">
        <f t="array" aca="1" ref="N350" ca="1">INDEX({"New";"Repeat"}, RANDBETWEEN(1,2))</f>
        <v>Repeat</v>
      </c>
      <c r="O350" s="4" t="str" cm="1">
        <f t="array" aca="1" ref="O350" ca="1">INDEX({"Loan";"Cash";"Lease"}, RANDBETWEEN(1,3))</f>
        <v>Cash</v>
      </c>
    </row>
    <row r="351" spans="1:15" x14ac:dyDescent="0.2">
      <c r="A351" s="4">
        <v>349</v>
      </c>
      <c r="B351" s="5">
        <f t="shared" ca="1" si="45"/>
        <v>45030</v>
      </c>
      <c r="C351" s="4" t="str" cm="1">
        <f t="array" aca="1" ref="C351" ca="1">INDEX({"Cochin";"Delhi";"Mumbai";"Pune";"Bengaluru"}, RANDBETWEEN(1,5))</f>
        <v>Delhi</v>
      </c>
      <c r="D351" s="4" t="str" cm="1">
        <f t="array" aca="1" ref="D351" ca="1">INDEX({"C-Class";"E-Class";"S-Class";"GLA";"GLC";"GLE";"GLS";"EQB"}, RANDBETWEEN(1,8))</f>
        <v>GLE</v>
      </c>
      <c r="E351" s="4" t="str">
        <f t="shared" ca="1" si="46"/>
        <v>SUV</v>
      </c>
      <c r="F351" s="4">
        <f t="shared" ca="1" si="47"/>
        <v>5</v>
      </c>
      <c r="G351" s="8">
        <f t="shared" ca="1" si="48"/>
        <v>10693063</v>
      </c>
      <c r="H351" s="8">
        <f t="shared" ca="1" si="49"/>
        <v>53465315</v>
      </c>
      <c r="I351" s="8">
        <f t="shared" ca="1" si="50"/>
        <v>40633639.399999999</v>
      </c>
      <c r="J351" s="8">
        <f t="shared" ca="1" si="51"/>
        <v>12831675.600000001</v>
      </c>
      <c r="K351" s="6">
        <f t="shared" ca="1" si="52"/>
        <v>0.24000000000000002</v>
      </c>
      <c r="L351" s="4" t="str" cm="1">
        <f t="array" aca="1" ref="L35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51" s="8">
        <f t="shared" ca="1" si="53"/>
        <v>20080</v>
      </c>
      <c r="N351" s="4" t="str" cm="1">
        <f t="array" aca="1" ref="N351" ca="1">INDEX({"New";"Repeat"}, RANDBETWEEN(1,2))</f>
        <v>New</v>
      </c>
      <c r="O351" s="4" t="str" cm="1">
        <f t="array" aca="1" ref="O351" ca="1">INDEX({"Loan";"Cash";"Lease"}, RANDBETWEEN(1,3))</f>
        <v>Loan</v>
      </c>
    </row>
    <row r="352" spans="1:15" x14ac:dyDescent="0.2">
      <c r="A352" s="4">
        <v>350</v>
      </c>
      <c r="B352" s="5">
        <f t="shared" ca="1" si="45"/>
        <v>45496</v>
      </c>
      <c r="C352" s="4" t="str" cm="1">
        <f t="array" aca="1" ref="C352" ca="1">INDEX({"Cochin";"Delhi";"Mumbai";"Pune";"Bengaluru"}, RANDBETWEEN(1,5))</f>
        <v>Bengaluru</v>
      </c>
      <c r="D352" s="4" t="str" cm="1">
        <f t="array" aca="1" ref="D352" ca="1">INDEX({"C-Class";"E-Class";"S-Class";"GLA";"GLC";"GLE";"GLS";"EQB"}, RANDBETWEEN(1,8))</f>
        <v>S-Class</v>
      </c>
      <c r="E352" s="4" t="str">
        <f t="shared" ca="1" si="46"/>
        <v>Sedan</v>
      </c>
      <c r="F352" s="4">
        <f t="shared" ca="1" si="47"/>
        <v>1</v>
      </c>
      <c r="G352" s="8">
        <f t="shared" ca="1" si="48"/>
        <v>19470400</v>
      </c>
      <c r="H352" s="8">
        <f t="shared" ca="1" si="49"/>
        <v>19470400</v>
      </c>
      <c r="I352" s="8">
        <f t="shared" ca="1" si="50"/>
        <v>16549840</v>
      </c>
      <c r="J352" s="8">
        <f t="shared" ca="1" si="51"/>
        <v>2920560</v>
      </c>
      <c r="K352" s="6">
        <f t="shared" ca="1" si="52"/>
        <v>0.15</v>
      </c>
      <c r="L352" s="4" t="str" cm="1">
        <f t="array" aca="1" ref="L352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352" s="8">
        <f t="shared" ca="1" si="53"/>
        <v>5761</v>
      </c>
      <c r="N352" s="4" t="str" cm="1">
        <f t="array" aca="1" ref="N352" ca="1">INDEX({"New";"Repeat"}, RANDBETWEEN(1,2))</f>
        <v>Repeat</v>
      </c>
      <c r="O352" s="4" t="str" cm="1">
        <f t="array" aca="1" ref="O352" ca="1">INDEX({"Loan";"Cash";"Lease"}, RANDBETWEEN(1,3))</f>
        <v>Loan</v>
      </c>
    </row>
    <row r="353" spans="1:15" x14ac:dyDescent="0.2">
      <c r="A353" s="4">
        <v>351</v>
      </c>
      <c r="B353" s="5">
        <f t="shared" ca="1" si="45"/>
        <v>45126</v>
      </c>
      <c r="C353" s="4" t="str" cm="1">
        <f t="array" aca="1" ref="C353" ca="1">INDEX({"Cochin";"Delhi";"Mumbai";"Pune";"Bengaluru"}, RANDBETWEEN(1,5))</f>
        <v>Cochin</v>
      </c>
      <c r="D353" s="4" t="str" cm="1">
        <f t="array" aca="1" ref="D353" ca="1">INDEX({"C-Class";"E-Class";"S-Class";"GLA";"GLC";"GLE";"GLS";"EQB"}, RANDBETWEEN(1,8))</f>
        <v>S-Class</v>
      </c>
      <c r="E353" s="4" t="str">
        <f t="shared" ca="1" si="46"/>
        <v>Sedan</v>
      </c>
      <c r="F353" s="4">
        <f t="shared" ca="1" si="47"/>
        <v>2</v>
      </c>
      <c r="G353" s="8">
        <f t="shared" ca="1" si="48"/>
        <v>19673761</v>
      </c>
      <c r="H353" s="8">
        <f t="shared" ca="1" si="49"/>
        <v>39347522</v>
      </c>
      <c r="I353" s="8">
        <f t="shared" ca="1" si="50"/>
        <v>28723691.059999999</v>
      </c>
      <c r="J353" s="8">
        <f t="shared" ca="1" si="51"/>
        <v>10623830.940000001</v>
      </c>
      <c r="K353" s="6">
        <f t="shared" ca="1" si="52"/>
        <v>0.27</v>
      </c>
      <c r="L353" s="4" t="str" cm="1">
        <f t="array" aca="1" ref="L35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353" s="8">
        <f t="shared" ca="1" si="53"/>
        <v>17039</v>
      </c>
      <c r="N353" s="4" t="str" cm="1">
        <f t="array" aca="1" ref="N353" ca="1">INDEX({"New";"Repeat"}, RANDBETWEEN(1,2))</f>
        <v>New</v>
      </c>
      <c r="O353" s="4" t="str" cm="1">
        <f t="array" aca="1" ref="O353" ca="1">INDEX({"Loan";"Cash";"Lease"}, RANDBETWEEN(1,3))</f>
        <v>Lease</v>
      </c>
    </row>
    <row r="354" spans="1:15" x14ac:dyDescent="0.2">
      <c r="A354" s="4">
        <v>352</v>
      </c>
      <c r="B354" s="5">
        <f t="shared" ca="1" si="45"/>
        <v>45753</v>
      </c>
      <c r="C354" s="4" t="str" cm="1">
        <f t="array" aca="1" ref="C354" ca="1">INDEX({"Cochin";"Delhi";"Mumbai";"Pune";"Bengaluru"}, RANDBETWEEN(1,5))</f>
        <v>Cochin</v>
      </c>
      <c r="D354" s="4" t="str" cm="1">
        <f t="array" aca="1" ref="D354" ca="1">INDEX({"C-Class";"E-Class";"S-Class";"GLA";"GLC";"GLE";"GLS";"EQB"}, RANDBETWEEN(1,8))</f>
        <v>GLA</v>
      </c>
      <c r="E354" s="4" t="str">
        <f t="shared" ca="1" si="46"/>
        <v>SUV</v>
      </c>
      <c r="F354" s="4">
        <f t="shared" ca="1" si="47"/>
        <v>1</v>
      </c>
      <c r="G354" s="8">
        <f t="shared" ca="1" si="48"/>
        <v>5048465</v>
      </c>
      <c r="H354" s="8">
        <f t="shared" ca="1" si="49"/>
        <v>5048465</v>
      </c>
      <c r="I354" s="8">
        <f t="shared" ca="1" si="50"/>
        <v>4240710.5999999996</v>
      </c>
      <c r="J354" s="8">
        <f t="shared" ca="1" si="51"/>
        <v>807754.40000000037</v>
      </c>
      <c r="K354" s="6">
        <f t="shared" ca="1" si="52"/>
        <v>0.16000000000000009</v>
      </c>
      <c r="L354" s="4" t="str" cm="1">
        <f t="array" aca="1" ref="L354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354" s="8">
        <f t="shared" ca="1" si="53"/>
        <v>22411</v>
      </c>
      <c r="N354" s="4" t="str" cm="1">
        <f t="array" aca="1" ref="N354" ca="1">INDEX({"New";"Repeat"}, RANDBETWEEN(1,2))</f>
        <v>New</v>
      </c>
      <c r="O354" s="4" t="str" cm="1">
        <f t="array" aca="1" ref="O354" ca="1">INDEX({"Loan";"Cash";"Lease"}, RANDBETWEEN(1,3))</f>
        <v>Cash</v>
      </c>
    </row>
    <row r="355" spans="1:15" x14ac:dyDescent="0.2">
      <c r="A355" s="4">
        <v>353</v>
      </c>
      <c r="B355" s="5">
        <f t="shared" ca="1" si="45"/>
        <v>45130</v>
      </c>
      <c r="C355" s="4" t="str" cm="1">
        <f t="array" aca="1" ref="C355" ca="1">INDEX({"Cochin";"Delhi";"Mumbai";"Pune";"Bengaluru"}, RANDBETWEEN(1,5))</f>
        <v>Mumbai</v>
      </c>
      <c r="D355" s="4" t="str" cm="1">
        <f t="array" aca="1" ref="D355" ca="1">INDEX({"C-Class";"E-Class";"S-Class";"GLA";"GLC";"GLE";"GLS";"EQB"}, RANDBETWEEN(1,8))</f>
        <v>EQB</v>
      </c>
      <c r="E355" s="4" t="str">
        <f t="shared" ca="1" si="46"/>
        <v>EV</v>
      </c>
      <c r="F355" s="4">
        <f t="shared" ca="1" si="47"/>
        <v>2</v>
      </c>
      <c r="G355" s="8">
        <f t="shared" ca="1" si="48"/>
        <v>7859878</v>
      </c>
      <c r="H355" s="8">
        <f t="shared" ca="1" si="49"/>
        <v>15719756</v>
      </c>
      <c r="I355" s="8">
        <f t="shared" ca="1" si="50"/>
        <v>11161026.76</v>
      </c>
      <c r="J355" s="8">
        <f t="shared" ca="1" si="51"/>
        <v>4558729.24</v>
      </c>
      <c r="K355" s="6">
        <f t="shared" ca="1" si="52"/>
        <v>0.29000000000000004</v>
      </c>
      <c r="L355" s="4" t="str" cm="1">
        <f t="array" aca="1" ref="L35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55" s="8">
        <f t="shared" ca="1" si="53"/>
        <v>5176</v>
      </c>
      <c r="N355" s="4" t="str" cm="1">
        <f t="array" aca="1" ref="N355" ca="1">INDEX({"New";"Repeat"}, RANDBETWEEN(1,2))</f>
        <v>Repeat</v>
      </c>
      <c r="O355" s="4" t="str" cm="1">
        <f t="array" aca="1" ref="O355" ca="1">INDEX({"Loan";"Cash";"Lease"}, RANDBETWEEN(1,3))</f>
        <v>Loan</v>
      </c>
    </row>
    <row r="356" spans="1:15" x14ac:dyDescent="0.2">
      <c r="A356" s="4">
        <v>354</v>
      </c>
      <c r="B356" s="5">
        <f t="shared" ca="1" si="45"/>
        <v>45673</v>
      </c>
      <c r="C356" s="4" t="str" cm="1">
        <f t="array" aca="1" ref="C356" ca="1">INDEX({"Cochin";"Delhi";"Mumbai";"Pune";"Bengaluru"}, RANDBETWEEN(1,5))</f>
        <v>Pune</v>
      </c>
      <c r="D356" s="4" t="str" cm="1">
        <f t="array" aca="1" ref="D356" ca="1">INDEX({"C-Class";"E-Class";"S-Class";"GLA";"GLC";"GLE";"GLS";"EQB"}, RANDBETWEEN(1,8))</f>
        <v>GLC</v>
      </c>
      <c r="E356" s="4" t="str">
        <f t="shared" ca="1" si="46"/>
        <v>SUV</v>
      </c>
      <c r="F356" s="4">
        <f t="shared" ca="1" si="47"/>
        <v>4</v>
      </c>
      <c r="G356" s="8">
        <f t="shared" ca="1" si="48"/>
        <v>6629351</v>
      </c>
      <c r="H356" s="8">
        <f t="shared" ca="1" si="49"/>
        <v>26517404</v>
      </c>
      <c r="I356" s="8">
        <f t="shared" ca="1" si="50"/>
        <v>22274619.359999999</v>
      </c>
      <c r="J356" s="8">
        <f t="shared" ca="1" si="51"/>
        <v>4242784.6400000006</v>
      </c>
      <c r="K356" s="6">
        <f t="shared" ca="1" si="52"/>
        <v>0.16000000000000003</v>
      </c>
      <c r="L356" s="4" t="str" cm="1">
        <f t="array" aca="1" ref="L35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56" s="8">
        <f t="shared" ca="1" si="53"/>
        <v>5627</v>
      </c>
      <c r="N356" s="4" t="str" cm="1">
        <f t="array" aca="1" ref="N356" ca="1">INDEX({"New";"Repeat"}, RANDBETWEEN(1,2))</f>
        <v>Repeat</v>
      </c>
      <c r="O356" s="4" t="str" cm="1">
        <f t="array" aca="1" ref="O356" ca="1">INDEX({"Loan";"Cash";"Lease"}, RANDBETWEEN(1,3))</f>
        <v>Lease</v>
      </c>
    </row>
    <row r="357" spans="1:15" x14ac:dyDescent="0.2">
      <c r="A357" s="4">
        <v>355</v>
      </c>
      <c r="B357" s="5">
        <f t="shared" ca="1" si="45"/>
        <v>45064</v>
      </c>
      <c r="C357" s="4" t="str" cm="1">
        <f t="array" aca="1" ref="C357" ca="1">INDEX({"Cochin";"Delhi";"Mumbai";"Pune";"Bengaluru"}, RANDBETWEEN(1,5))</f>
        <v>Bengaluru</v>
      </c>
      <c r="D357" s="4" t="str" cm="1">
        <f t="array" aca="1" ref="D357" ca="1">INDEX({"C-Class";"E-Class";"S-Class";"GLA";"GLC";"GLE";"GLS";"EQB"}, RANDBETWEEN(1,8))</f>
        <v>E-Class</v>
      </c>
      <c r="E357" s="4" t="str">
        <f t="shared" ca="1" si="46"/>
        <v>Sedan</v>
      </c>
      <c r="F357" s="4">
        <f t="shared" ca="1" si="47"/>
        <v>1</v>
      </c>
      <c r="G357" s="8">
        <f t="shared" ca="1" si="48"/>
        <v>7781890</v>
      </c>
      <c r="H357" s="8">
        <f t="shared" ca="1" si="49"/>
        <v>7781890</v>
      </c>
      <c r="I357" s="8">
        <f t="shared" ca="1" si="50"/>
        <v>5914236.4000000004</v>
      </c>
      <c r="J357" s="8">
        <f t="shared" ca="1" si="51"/>
        <v>1867653.5999999996</v>
      </c>
      <c r="K357" s="6">
        <f t="shared" ca="1" si="52"/>
        <v>0.23999999999999996</v>
      </c>
      <c r="L357" s="4" t="str" cm="1">
        <f t="array" aca="1" ref="L357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57" s="8">
        <f t="shared" ca="1" si="53"/>
        <v>13090</v>
      </c>
      <c r="N357" s="4" t="str" cm="1">
        <f t="array" aca="1" ref="N357" ca="1">INDEX({"New";"Repeat"}, RANDBETWEEN(1,2))</f>
        <v>New</v>
      </c>
      <c r="O357" s="4" t="str" cm="1">
        <f t="array" aca="1" ref="O357" ca="1">INDEX({"Loan";"Cash";"Lease"}, RANDBETWEEN(1,3))</f>
        <v>Loan</v>
      </c>
    </row>
    <row r="358" spans="1:15" x14ac:dyDescent="0.2">
      <c r="A358" s="4">
        <v>356</v>
      </c>
      <c r="B358" s="5">
        <f t="shared" ca="1" si="45"/>
        <v>45153</v>
      </c>
      <c r="C358" s="4" t="str" cm="1">
        <f t="array" aca="1" ref="C358" ca="1">INDEX({"Cochin";"Delhi";"Mumbai";"Pune";"Bengaluru"}, RANDBETWEEN(1,5))</f>
        <v>Mumbai</v>
      </c>
      <c r="D358" s="4" t="str" cm="1">
        <f t="array" aca="1" ref="D358" ca="1">INDEX({"C-Class";"E-Class";"S-Class";"GLA";"GLC";"GLE";"GLS";"EQB"}, RANDBETWEEN(1,8))</f>
        <v>EQB</v>
      </c>
      <c r="E358" s="4" t="str">
        <f t="shared" ca="1" si="46"/>
        <v>EV</v>
      </c>
      <c r="F358" s="4">
        <f t="shared" ca="1" si="47"/>
        <v>4</v>
      </c>
      <c r="G358" s="8">
        <f t="shared" ca="1" si="48"/>
        <v>7302286</v>
      </c>
      <c r="H358" s="8">
        <f t="shared" ca="1" si="49"/>
        <v>29209144</v>
      </c>
      <c r="I358" s="8">
        <f t="shared" ca="1" si="50"/>
        <v>22198949.440000001</v>
      </c>
      <c r="J358" s="8">
        <f t="shared" ca="1" si="51"/>
        <v>7010194.5599999987</v>
      </c>
      <c r="K358" s="6">
        <f t="shared" ca="1" si="52"/>
        <v>0.23999999999999996</v>
      </c>
      <c r="L358" s="4" t="str" cm="1">
        <f t="array" aca="1" ref="L358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58" s="8">
        <f t="shared" ca="1" si="53"/>
        <v>12031</v>
      </c>
      <c r="N358" s="4" t="str" cm="1">
        <f t="array" aca="1" ref="N358" ca="1">INDEX({"New";"Repeat"}, RANDBETWEEN(1,2))</f>
        <v>New</v>
      </c>
      <c r="O358" s="4" t="str" cm="1">
        <f t="array" aca="1" ref="O358" ca="1">INDEX({"Loan";"Cash";"Lease"}, RANDBETWEEN(1,3))</f>
        <v>Lease</v>
      </c>
    </row>
    <row r="359" spans="1:15" x14ac:dyDescent="0.2">
      <c r="A359" s="4">
        <v>357</v>
      </c>
      <c r="B359" s="5">
        <f t="shared" ca="1" si="45"/>
        <v>45832</v>
      </c>
      <c r="C359" s="4" t="str" cm="1">
        <f t="array" aca="1" ref="C359" ca="1">INDEX({"Cochin";"Delhi";"Mumbai";"Pune";"Bengaluru"}, RANDBETWEEN(1,5))</f>
        <v>Bengaluru</v>
      </c>
      <c r="D359" s="4" t="str" cm="1">
        <f t="array" aca="1" ref="D359" ca="1">INDEX({"C-Class";"E-Class";"S-Class";"GLA";"GLC";"GLE";"GLS";"EQB"}, RANDBETWEEN(1,8))</f>
        <v>GLS</v>
      </c>
      <c r="E359" s="4" t="str">
        <f t="shared" ca="1" si="46"/>
        <v>SUV</v>
      </c>
      <c r="F359" s="4">
        <f t="shared" ca="1" si="47"/>
        <v>3</v>
      </c>
      <c r="G359" s="8">
        <f t="shared" ca="1" si="48"/>
        <v>13903295</v>
      </c>
      <c r="H359" s="8">
        <f t="shared" ca="1" si="49"/>
        <v>41709885</v>
      </c>
      <c r="I359" s="8">
        <f t="shared" ca="1" si="50"/>
        <v>32533710.300000001</v>
      </c>
      <c r="J359" s="8">
        <f t="shared" ca="1" si="51"/>
        <v>9176174.6999999993</v>
      </c>
      <c r="K359" s="6">
        <f t="shared" ca="1" si="52"/>
        <v>0.21999999999999997</v>
      </c>
      <c r="L359" s="4" t="str" cm="1">
        <f t="array" aca="1" ref="L35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59" s="8">
        <f t="shared" ca="1" si="53"/>
        <v>18026</v>
      </c>
      <c r="N359" s="4" t="str" cm="1">
        <f t="array" aca="1" ref="N359" ca="1">INDEX({"New";"Repeat"}, RANDBETWEEN(1,2))</f>
        <v>New</v>
      </c>
      <c r="O359" s="4" t="str" cm="1">
        <f t="array" aca="1" ref="O359" ca="1">INDEX({"Loan";"Cash";"Lease"}, RANDBETWEEN(1,3))</f>
        <v>Cash</v>
      </c>
    </row>
    <row r="360" spans="1:15" x14ac:dyDescent="0.2">
      <c r="A360" s="4">
        <v>358</v>
      </c>
      <c r="B360" s="5">
        <f t="shared" ca="1" si="45"/>
        <v>45862</v>
      </c>
      <c r="C360" s="4" t="str" cm="1">
        <f t="array" aca="1" ref="C360" ca="1">INDEX({"Cochin";"Delhi";"Mumbai";"Pune";"Bengaluru"}, RANDBETWEEN(1,5))</f>
        <v>Pune</v>
      </c>
      <c r="D360" s="4" t="str" cm="1">
        <f t="array" aca="1" ref="D360" ca="1">INDEX({"C-Class";"E-Class";"S-Class";"GLA";"GLC";"GLE";"GLS";"EQB"}, RANDBETWEEN(1,8))</f>
        <v>E-Class</v>
      </c>
      <c r="E360" s="4" t="str">
        <f t="shared" ca="1" si="46"/>
        <v>Sedan</v>
      </c>
      <c r="F360" s="4">
        <f t="shared" ca="1" si="47"/>
        <v>4</v>
      </c>
      <c r="G360" s="8">
        <f t="shared" ca="1" si="48"/>
        <v>8842318</v>
      </c>
      <c r="H360" s="8">
        <f t="shared" ca="1" si="49"/>
        <v>35369272</v>
      </c>
      <c r="I360" s="8">
        <f t="shared" ca="1" si="50"/>
        <v>26526954</v>
      </c>
      <c r="J360" s="8">
        <f t="shared" ca="1" si="51"/>
        <v>8842318</v>
      </c>
      <c r="K360" s="6">
        <f t="shared" ca="1" si="52"/>
        <v>0.25</v>
      </c>
      <c r="L360" s="4" t="str" cm="1">
        <f t="array" aca="1" ref="L36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60" s="8">
        <f t="shared" ca="1" si="53"/>
        <v>24671</v>
      </c>
      <c r="N360" s="4" t="str" cm="1">
        <f t="array" aca="1" ref="N360" ca="1">INDEX({"New";"Repeat"}, RANDBETWEEN(1,2))</f>
        <v>New</v>
      </c>
      <c r="O360" s="4" t="str" cm="1">
        <f t="array" aca="1" ref="O360" ca="1">INDEX({"Loan";"Cash";"Lease"}, RANDBETWEEN(1,3))</f>
        <v>Cash</v>
      </c>
    </row>
    <row r="361" spans="1:15" x14ac:dyDescent="0.2">
      <c r="A361" s="4">
        <v>359</v>
      </c>
      <c r="B361" s="5">
        <f t="shared" ca="1" si="45"/>
        <v>45261</v>
      </c>
      <c r="C361" s="4" t="str" cm="1">
        <f t="array" aca="1" ref="C361" ca="1">INDEX({"Cochin";"Delhi";"Mumbai";"Pune";"Bengaluru"}, RANDBETWEEN(1,5))</f>
        <v>Bengaluru</v>
      </c>
      <c r="D361" s="4" t="str" cm="1">
        <f t="array" aca="1" ref="D361" ca="1">INDEX({"C-Class";"E-Class";"S-Class";"GLA";"GLC";"GLE";"GLS";"EQB"}, RANDBETWEEN(1,8))</f>
        <v>GLA</v>
      </c>
      <c r="E361" s="4" t="str">
        <f t="shared" ca="1" si="46"/>
        <v>SUV</v>
      </c>
      <c r="F361" s="4">
        <f t="shared" ca="1" si="47"/>
        <v>4</v>
      </c>
      <c r="G361" s="8">
        <f t="shared" ca="1" si="48"/>
        <v>5053886</v>
      </c>
      <c r="H361" s="8">
        <f t="shared" ca="1" si="49"/>
        <v>20215544</v>
      </c>
      <c r="I361" s="8">
        <f t="shared" ca="1" si="50"/>
        <v>14757347.119999999</v>
      </c>
      <c r="J361" s="8">
        <f t="shared" ca="1" si="51"/>
        <v>5458196.8800000008</v>
      </c>
      <c r="K361" s="6">
        <f t="shared" ca="1" si="52"/>
        <v>0.27</v>
      </c>
      <c r="L361" s="4" t="str" cm="1">
        <f t="array" aca="1" ref="L36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61" s="8">
        <f t="shared" ca="1" si="53"/>
        <v>7497</v>
      </c>
      <c r="N361" s="4" t="str" cm="1">
        <f t="array" aca="1" ref="N361" ca="1">INDEX({"New";"Repeat"}, RANDBETWEEN(1,2))</f>
        <v>Repeat</v>
      </c>
      <c r="O361" s="4" t="str" cm="1">
        <f t="array" aca="1" ref="O361" ca="1">INDEX({"Loan";"Cash";"Lease"}, RANDBETWEEN(1,3))</f>
        <v>Loan</v>
      </c>
    </row>
    <row r="362" spans="1:15" x14ac:dyDescent="0.2">
      <c r="A362" s="4">
        <v>360</v>
      </c>
      <c r="B362" s="5">
        <f t="shared" ca="1" si="45"/>
        <v>45346</v>
      </c>
      <c r="C362" s="4" t="str" cm="1">
        <f t="array" aca="1" ref="C362" ca="1">INDEX({"Cochin";"Delhi";"Mumbai";"Pune";"Bengaluru"}, RANDBETWEEN(1,5))</f>
        <v>Pune</v>
      </c>
      <c r="D362" s="4" t="str" cm="1">
        <f t="array" aca="1" ref="D362" ca="1">INDEX({"C-Class";"E-Class";"S-Class";"GLA";"GLC";"GLE";"GLS";"EQB"}, RANDBETWEEN(1,8))</f>
        <v>C-Class</v>
      </c>
      <c r="E362" s="4" t="str">
        <f t="shared" ca="1" si="46"/>
        <v>Sedan</v>
      </c>
      <c r="F362" s="4">
        <f t="shared" ca="1" si="47"/>
        <v>4</v>
      </c>
      <c r="G362" s="8">
        <f t="shared" ca="1" si="48"/>
        <v>6096341</v>
      </c>
      <c r="H362" s="8">
        <f t="shared" ca="1" si="49"/>
        <v>24385364</v>
      </c>
      <c r="I362" s="8">
        <f t="shared" ca="1" si="50"/>
        <v>19752144.84</v>
      </c>
      <c r="J362" s="8">
        <f t="shared" ca="1" si="51"/>
        <v>4633219.16</v>
      </c>
      <c r="K362" s="6">
        <f t="shared" ca="1" si="52"/>
        <v>0.19</v>
      </c>
      <c r="L362" s="4" t="str" cm="1">
        <f t="array" aca="1" ref="L36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62" s="8">
        <f t="shared" ca="1" si="53"/>
        <v>11633</v>
      </c>
      <c r="N362" s="4" t="str" cm="1">
        <f t="array" aca="1" ref="N362" ca="1">INDEX({"New";"Repeat"}, RANDBETWEEN(1,2))</f>
        <v>New</v>
      </c>
      <c r="O362" s="4" t="str" cm="1">
        <f t="array" aca="1" ref="O362" ca="1">INDEX({"Loan";"Cash";"Lease"}, RANDBETWEEN(1,3))</f>
        <v>Loan</v>
      </c>
    </row>
    <row r="363" spans="1:15" x14ac:dyDescent="0.2">
      <c r="A363" s="4">
        <v>361</v>
      </c>
      <c r="B363" s="5">
        <f t="shared" ca="1" si="45"/>
        <v>44991</v>
      </c>
      <c r="C363" s="4" t="str" cm="1">
        <f t="array" aca="1" ref="C363" ca="1">INDEX({"Cochin";"Delhi";"Mumbai";"Pune";"Bengaluru"}, RANDBETWEEN(1,5))</f>
        <v>Bengaluru</v>
      </c>
      <c r="D363" s="4" t="str" cm="1">
        <f t="array" aca="1" ref="D363" ca="1">INDEX({"C-Class";"E-Class";"S-Class";"GLA";"GLC";"GLE";"GLS";"EQB"}, RANDBETWEEN(1,8))</f>
        <v>GLE</v>
      </c>
      <c r="E363" s="4" t="str">
        <f t="shared" ca="1" si="46"/>
        <v>SUV</v>
      </c>
      <c r="F363" s="4">
        <f t="shared" ca="1" si="47"/>
        <v>2</v>
      </c>
      <c r="G363" s="8">
        <f t="shared" ca="1" si="48"/>
        <v>11099952</v>
      </c>
      <c r="H363" s="8">
        <f t="shared" ca="1" si="49"/>
        <v>22199904</v>
      </c>
      <c r="I363" s="8">
        <f t="shared" ca="1" si="50"/>
        <v>17315925.120000001</v>
      </c>
      <c r="J363" s="8">
        <f t="shared" ca="1" si="51"/>
        <v>4883978.879999999</v>
      </c>
      <c r="K363" s="6">
        <f t="shared" ca="1" si="52"/>
        <v>0.21999999999999995</v>
      </c>
      <c r="L363" s="4" t="str" cm="1">
        <f t="array" aca="1" ref="L36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63" s="8">
        <f t="shared" ca="1" si="53"/>
        <v>20767</v>
      </c>
      <c r="N363" s="4" t="str" cm="1">
        <f t="array" aca="1" ref="N363" ca="1">INDEX({"New";"Repeat"}, RANDBETWEEN(1,2))</f>
        <v>New</v>
      </c>
      <c r="O363" s="4" t="str" cm="1">
        <f t="array" aca="1" ref="O363" ca="1">INDEX({"Loan";"Cash";"Lease"}, RANDBETWEEN(1,3))</f>
        <v>Cash</v>
      </c>
    </row>
    <row r="364" spans="1:15" x14ac:dyDescent="0.2">
      <c r="A364" s="4">
        <v>362</v>
      </c>
      <c r="B364" s="5">
        <f t="shared" ca="1" si="45"/>
        <v>44961</v>
      </c>
      <c r="C364" s="4" t="str" cm="1">
        <f t="array" aca="1" ref="C364" ca="1">INDEX({"Cochin";"Delhi";"Mumbai";"Pune";"Bengaluru"}, RANDBETWEEN(1,5))</f>
        <v>Cochin</v>
      </c>
      <c r="D364" s="4" t="str" cm="1">
        <f t="array" aca="1" ref="D364" ca="1">INDEX({"C-Class";"E-Class";"S-Class";"GLA";"GLC";"GLE";"GLS";"EQB"}, RANDBETWEEN(1,8))</f>
        <v>S-Class</v>
      </c>
      <c r="E364" s="4" t="str">
        <f t="shared" ca="1" si="46"/>
        <v>Sedan</v>
      </c>
      <c r="F364" s="4">
        <f t="shared" ca="1" si="47"/>
        <v>4</v>
      </c>
      <c r="G364" s="8">
        <f t="shared" ca="1" si="48"/>
        <v>17927187</v>
      </c>
      <c r="H364" s="8">
        <f t="shared" ca="1" si="49"/>
        <v>71708748</v>
      </c>
      <c r="I364" s="8">
        <f t="shared" ca="1" si="50"/>
        <v>59518260.840000004</v>
      </c>
      <c r="J364" s="8">
        <f t="shared" ca="1" si="51"/>
        <v>12190487.159999996</v>
      </c>
      <c r="K364" s="6">
        <f t="shared" ca="1" si="52"/>
        <v>0.16999999999999996</v>
      </c>
      <c r="L364" s="4" t="str" cm="1">
        <f t="array" aca="1" ref="L36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364" s="8">
        <f t="shared" ca="1" si="53"/>
        <v>16150</v>
      </c>
      <c r="N364" s="4" t="str" cm="1">
        <f t="array" aca="1" ref="N364" ca="1">INDEX({"New";"Repeat"}, RANDBETWEEN(1,2))</f>
        <v>New</v>
      </c>
      <c r="O364" s="4" t="str" cm="1">
        <f t="array" aca="1" ref="O364" ca="1">INDEX({"Loan";"Cash";"Lease"}, RANDBETWEEN(1,3))</f>
        <v>Lease</v>
      </c>
    </row>
    <row r="365" spans="1:15" x14ac:dyDescent="0.2">
      <c r="A365" s="4">
        <v>363</v>
      </c>
      <c r="B365" s="5">
        <f t="shared" ca="1" si="45"/>
        <v>45506</v>
      </c>
      <c r="C365" s="4" t="str" cm="1">
        <f t="array" aca="1" ref="C365" ca="1">INDEX({"Cochin";"Delhi";"Mumbai";"Pune";"Bengaluru"}, RANDBETWEEN(1,5))</f>
        <v>Mumbai</v>
      </c>
      <c r="D365" s="4" t="str" cm="1">
        <f t="array" aca="1" ref="D365" ca="1">INDEX({"C-Class";"E-Class";"S-Class";"GLA";"GLC";"GLE";"GLS";"EQB"}, RANDBETWEEN(1,8))</f>
        <v>EQB</v>
      </c>
      <c r="E365" s="4" t="str">
        <f t="shared" ca="1" si="46"/>
        <v>EV</v>
      </c>
      <c r="F365" s="4">
        <f t="shared" ca="1" si="47"/>
        <v>1</v>
      </c>
      <c r="G365" s="8">
        <f t="shared" ca="1" si="48"/>
        <v>7512804</v>
      </c>
      <c r="H365" s="8">
        <f t="shared" ca="1" si="49"/>
        <v>7512804</v>
      </c>
      <c r="I365" s="8">
        <f t="shared" ca="1" si="50"/>
        <v>5334090.84</v>
      </c>
      <c r="J365" s="8">
        <f t="shared" ca="1" si="51"/>
        <v>2178713.16</v>
      </c>
      <c r="K365" s="6">
        <f t="shared" ca="1" si="52"/>
        <v>0.29000000000000004</v>
      </c>
      <c r="L365" s="4" t="str" cm="1">
        <f t="array" aca="1" ref="L36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65" s="8">
        <f t="shared" ca="1" si="53"/>
        <v>7850</v>
      </c>
      <c r="N365" s="4" t="str" cm="1">
        <f t="array" aca="1" ref="N365" ca="1">INDEX({"New";"Repeat"}, RANDBETWEEN(1,2))</f>
        <v>Repeat</v>
      </c>
      <c r="O365" s="4" t="str" cm="1">
        <f t="array" aca="1" ref="O365" ca="1">INDEX({"Loan";"Cash";"Lease"}, RANDBETWEEN(1,3))</f>
        <v>Loan</v>
      </c>
    </row>
    <row r="366" spans="1:15" x14ac:dyDescent="0.2">
      <c r="A366" s="4">
        <v>364</v>
      </c>
      <c r="B366" s="5">
        <f t="shared" ca="1" si="45"/>
        <v>45300</v>
      </c>
      <c r="C366" s="4" t="str" cm="1">
        <f t="array" aca="1" ref="C366" ca="1">INDEX({"Cochin";"Delhi";"Mumbai";"Pune";"Bengaluru"}, RANDBETWEEN(1,5))</f>
        <v>Pune</v>
      </c>
      <c r="D366" s="4" t="str" cm="1">
        <f t="array" aca="1" ref="D366" ca="1">INDEX({"C-Class";"E-Class";"S-Class";"GLA";"GLC";"GLE";"GLS";"EQB"}, RANDBETWEEN(1,8))</f>
        <v>GLA</v>
      </c>
      <c r="E366" s="4" t="str">
        <f t="shared" ca="1" si="46"/>
        <v>SUV</v>
      </c>
      <c r="F366" s="4">
        <f t="shared" ca="1" si="47"/>
        <v>2</v>
      </c>
      <c r="G366" s="8">
        <f t="shared" ca="1" si="48"/>
        <v>4734172</v>
      </c>
      <c r="H366" s="8">
        <f t="shared" ca="1" si="49"/>
        <v>9468344</v>
      </c>
      <c r="I366" s="8">
        <f t="shared" ca="1" si="50"/>
        <v>7195941.4400000004</v>
      </c>
      <c r="J366" s="8">
        <f t="shared" ca="1" si="51"/>
        <v>2272402.5599999996</v>
      </c>
      <c r="K366" s="6">
        <f t="shared" ca="1" si="52"/>
        <v>0.23999999999999996</v>
      </c>
      <c r="L366" s="4" t="str" cm="1">
        <f t="array" aca="1" ref="L36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66" s="8">
        <f t="shared" ca="1" si="53"/>
        <v>7949</v>
      </c>
      <c r="N366" s="4" t="str" cm="1">
        <f t="array" aca="1" ref="N366" ca="1">INDEX({"New";"Repeat"}, RANDBETWEEN(1,2))</f>
        <v>Repeat</v>
      </c>
      <c r="O366" s="4" t="str" cm="1">
        <f t="array" aca="1" ref="O366" ca="1">INDEX({"Loan";"Cash";"Lease"}, RANDBETWEEN(1,3))</f>
        <v>Cash</v>
      </c>
    </row>
    <row r="367" spans="1:15" x14ac:dyDescent="0.2">
      <c r="A367" s="4">
        <v>365</v>
      </c>
      <c r="B367" s="5">
        <f t="shared" ca="1" si="45"/>
        <v>45102</v>
      </c>
      <c r="C367" s="4" t="str" cm="1">
        <f t="array" aca="1" ref="C367" ca="1">INDEX({"Cochin";"Delhi";"Mumbai";"Pune";"Bengaluru"}, RANDBETWEEN(1,5))</f>
        <v>Mumbai</v>
      </c>
      <c r="D367" s="4" t="str" cm="1">
        <f t="array" aca="1" ref="D367" ca="1">INDEX({"C-Class";"E-Class";"S-Class";"GLA";"GLC";"GLE";"GLS";"EQB"}, RANDBETWEEN(1,8))</f>
        <v>GLC</v>
      </c>
      <c r="E367" s="4" t="str">
        <f t="shared" ca="1" si="46"/>
        <v>SUV</v>
      </c>
      <c r="F367" s="4">
        <f t="shared" ca="1" si="47"/>
        <v>5</v>
      </c>
      <c r="G367" s="8">
        <f t="shared" ca="1" si="48"/>
        <v>7479609</v>
      </c>
      <c r="H367" s="8">
        <f t="shared" ca="1" si="49"/>
        <v>37398045</v>
      </c>
      <c r="I367" s="8">
        <f t="shared" ca="1" si="50"/>
        <v>27674553.300000001</v>
      </c>
      <c r="J367" s="8">
        <f t="shared" ca="1" si="51"/>
        <v>9723491.6999999993</v>
      </c>
      <c r="K367" s="6">
        <f t="shared" ca="1" si="52"/>
        <v>0.25999999999999995</v>
      </c>
      <c r="L367" s="4" t="str" cm="1">
        <f t="array" aca="1" ref="L36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67" s="8">
        <f t="shared" ca="1" si="53"/>
        <v>6356</v>
      </c>
      <c r="N367" s="4" t="str" cm="1">
        <f t="array" aca="1" ref="N367" ca="1">INDEX({"New";"Repeat"}, RANDBETWEEN(1,2))</f>
        <v>Repeat</v>
      </c>
      <c r="O367" s="4" t="str" cm="1">
        <f t="array" aca="1" ref="O367" ca="1">INDEX({"Loan";"Cash";"Lease"}, RANDBETWEEN(1,3))</f>
        <v>Cash</v>
      </c>
    </row>
    <row r="368" spans="1:15" x14ac:dyDescent="0.2">
      <c r="A368" s="4">
        <v>366</v>
      </c>
      <c r="B368" s="5">
        <f t="shared" ca="1" si="45"/>
        <v>45447</v>
      </c>
      <c r="C368" s="4" t="str" cm="1">
        <f t="array" aca="1" ref="C368" ca="1">INDEX({"Cochin";"Delhi";"Mumbai";"Pune";"Bengaluru"}, RANDBETWEEN(1,5))</f>
        <v>Mumbai</v>
      </c>
      <c r="D368" s="4" t="str" cm="1">
        <f t="array" aca="1" ref="D368" ca="1">INDEX({"C-Class";"E-Class";"S-Class";"GLA";"GLC";"GLE";"GLS";"EQB"}, RANDBETWEEN(1,8))</f>
        <v>E-Class</v>
      </c>
      <c r="E368" s="4" t="str">
        <f t="shared" ca="1" si="46"/>
        <v>Sedan</v>
      </c>
      <c r="F368" s="4">
        <f t="shared" ca="1" si="47"/>
        <v>1</v>
      </c>
      <c r="G368" s="8">
        <f t="shared" ca="1" si="48"/>
        <v>7872707</v>
      </c>
      <c r="H368" s="8">
        <f t="shared" ca="1" si="49"/>
        <v>7872707</v>
      </c>
      <c r="I368" s="8">
        <f t="shared" ca="1" si="50"/>
        <v>6534346.8099999996</v>
      </c>
      <c r="J368" s="8">
        <f t="shared" ca="1" si="51"/>
        <v>1338360.1900000004</v>
      </c>
      <c r="K368" s="6">
        <f t="shared" ca="1" si="52"/>
        <v>0.17000000000000004</v>
      </c>
      <c r="L368" s="4" t="str" cm="1">
        <f t="array" aca="1" ref="L36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68" s="8">
        <f t="shared" ca="1" si="53"/>
        <v>14055</v>
      </c>
      <c r="N368" s="4" t="str" cm="1">
        <f t="array" aca="1" ref="N368" ca="1">INDEX({"New";"Repeat"}, RANDBETWEEN(1,2))</f>
        <v>New</v>
      </c>
      <c r="O368" s="4" t="str" cm="1">
        <f t="array" aca="1" ref="O368" ca="1">INDEX({"Loan";"Cash";"Lease"}, RANDBETWEEN(1,3))</f>
        <v>Lease</v>
      </c>
    </row>
    <row r="369" spans="1:15" x14ac:dyDescent="0.2">
      <c r="A369" s="4">
        <v>367</v>
      </c>
      <c r="B369" s="5">
        <f t="shared" ca="1" si="45"/>
        <v>45612</v>
      </c>
      <c r="C369" s="4" t="str" cm="1">
        <f t="array" aca="1" ref="C369" ca="1">INDEX({"Cochin";"Delhi";"Mumbai";"Pune";"Bengaluru"}, RANDBETWEEN(1,5))</f>
        <v>Mumbai</v>
      </c>
      <c r="D369" s="4" t="str" cm="1">
        <f t="array" aca="1" ref="D369" ca="1">INDEX({"C-Class";"E-Class";"S-Class";"GLA";"GLC";"GLE";"GLS";"EQB"}, RANDBETWEEN(1,8))</f>
        <v>S-Class</v>
      </c>
      <c r="E369" s="4" t="str">
        <f t="shared" ca="1" si="46"/>
        <v>Sedan</v>
      </c>
      <c r="F369" s="4">
        <f t="shared" ca="1" si="47"/>
        <v>1</v>
      </c>
      <c r="G369" s="8">
        <f t="shared" ca="1" si="48"/>
        <v>18031944</v>
      </c>
      <c r="H369" s="8">
        <f t="shared" ca="1" si="49"/>
        <v>18031944</v>
      </c>
      <c r="I369" s="8">
        <f t="shared" ca="1" si="50"/>
        <v>13523958</v>
      </c>
      <c r="J369" s="8">
        <f t="shared" ca="1" si="51"/>
        <v>4507986</v>
      </c>
      <c r="K369" s="6">
        <f t="shared" ca="1" si="52"/>
        <v>0.25</v>
      </c>
      <c r="L369" s="4" t="str" cm="1">
        <f t="array" aca="1" ref="L36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69" s="8">
        <f t="shared" ca="1" si="53"/>
        <v>14279</v>
      </c>
      <c r="N369" s="4" t="str" cm="1">
        <f t="array" aca="1" ref="N369" ca="1">INDEX({"New";"Repeat"}, RANDBETWEEN(1,2))</f>
        <v>New</v>
      </c>
      <c r="O369" s="4" t="str" cm="1">
        <f t="array" aca="1" ref="O369" ca="1">INDEX({"Loan";"Cash";"Lease"}, RANDBETWEEN(1,3))</f>
        <v>Loan</v>
      </c>
    </row>
    <row r="370" spans="1:15" x14ac:dyDescent="0.2">
      <c r="A370" s="4">
        <v>368</v>
      </c>
      <c r="B370" s="5">
        <f t="shared" ca="1" si="45"/>
        <v>44969</v>
      </c>
      <c r="C370" s="4" t="str" cm="1">
        <f t="array" aca="1" ref="C370" ca="1">INDEX({"Cochin";"Delhi";"Mumbai";"Pune";"Bengaluru"}, RANDBETWEEN(1,5))</f>
        <v>Cochin</v>
      </c>
      <c r="D370" s="4" t="str" cm="1">
        <f t="array" aca="1" ref="D370" ca="1">INDEX({"C-Class";"E-Class";"S-Class";"GLA";"GLC";"GLE";"GLS";"EQB"}, RANDBETWEEN(1,8))</f>
        <v>E-Class</v>
      </c>
      <c r="E370" s="4" t="str">
        <f t="shared" ca="1" si="46"/>
        <v>Sedan</v>
      </c>
      <c r="F370" s="4">
        <f t="shared" ca="1" si="47"/>
        <v>4</v>
      </c>
      <c r="G370" s="8">
        <f t="shared" ca="1" si="48"/>
        <v>7536530</v>
      </c>
      <c r="H370" s="8">
        <f t="shared" ca="1" si="49"/>
        <v>30146120</v>
      </c>
      <c r="I370" s="8">
        <f t="shared" ca="1" si="50"/>
        <v>24116896</v>
      </c>
      <c r="J370" s="8">
        <f t="shared" ca="1" si="51"/>
        <v>6029224</v>
      </c>
      <c r="K370" s="6">
        <f t="shared" ca="1" si="52"/>
        <v>0.2</v>
      </c>
      <c r="L370" s="4" t="str" cm="1">
        <f t="array" aca="1" ref="L37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70" s="8">
        <f t="shared" ca="1" si="53"/>
        <v>7361</v>
      </c>
      <c r="N370" s="4" t="str" cm="1">
        <f t="array" aca="1" ref="N370" ca="1">INDEX({"New";"Repeat"}, RANDBETWEEN(1,2))</f>
        <v>Repeat</v>
      </c>
      <c r="O370" s="4" t="str" cm="1">
        <f t="array" aca="1" ref="O370" ca="1">INDEX({"Loan";"Cash";"Lease"}, RANDBETWEEN(1,3))</f>
        <v>Lease</v>
      </c>
    </row>
    <row r="371" spans="1:15" x14ac:dyDescent="0.2">
      <c r="A371" s="4">
        <v>369</v>
      </c>
      <c r="B371" s="5">
        <f t="shared" ca="1" si="45"/>
        <v>45056</v>
      </c>
      <c r="C371" s="4" t="str" cm="1">
        <f t="array" aca="1" ref="C371" ca="1">INDEX({"Cochin";"Delhi";"Mumbai";"Pune";"Bengaluru"}, RANDBETWEEN(1,5))</f>
        <v>Cochin</v>
      </c>
      <c r="D371" s="4" t="str" cm="1">
        <f t="array" aca="1" ref="D371" ca="1">INDEX({"C-Class";"E-Class";"S-Class";"GLA";"GLC";"GLE";"GLS";"EQB"}, RANDBETWEEN(1,8))</f>
        <v>C-Class</v>
      </c>
      <c r="E371" s="4" t="str">
        <f t="shared" ca="1" si="46"/>
        <v>Sedan</v>
      </c>
      <c r="F371" s="4">
        <f t="shared" ca="1" si="47"/>
        <v>4</v>
      </c>
      <c r="G371" s="8">
        <f t="shared" ca="1" si="48"/>
        <v>5786350</v>
      </c>
      <c r="H371" s="8">
        <f t="shared" ca="1" si="49"/>
        <v>23145400</v>
      </c>
      <c r="I371" s="8">
        <f t="shared" ca="1" si="50"/>
        <v>16896142</v>
      </c>
      <c r="J371" s="8">
        <f t="shared" ca="1" si="51"/>
        <v>6249258</v>
      </c>
      <c r="K371" s="6">
        <f t="shared" ca="1" si="52"/>
        <v>0.27</v>
      </c>
      <c r="L371" s="4" t="str" cm="1">
        <f t="array" aca="1" ref="L371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71" s="8">
        <f t="shared" ca="1" si="53"/>
        <v>23329</v>
      </c>
      <c r="N371" s="4" t="str" cm="1">
        <f t="array" aca="1" ref="N371" ca="1">INDEX({"New";"Repeat"}, RANDBETWEEN(1,2))</f>
        <v>New</v>
      </c>
      <c r="O371" s="4" t="str" cm="1">
        <f t="array" aca="1" ref="O371" ca="1">INDEX({"Loan";"Cash";"Lease"}, RANDBETWEEN(1,3))</f>
        <v>Loan</v>
      </c>
    </row>
    <row r="372" spans="1:15" x14ac:dyDescent="0.2">
      <c r="A372" s="4">
        <v>370</v>
      </c>
      <c r="B372" s="5">
        <f t="shared" ca="1" si="45"/>
        <v>45234</v>
      </c>
      <c r="C372" s="4" t="str" cm="1">
        <f t="array" aca="1" ref="C372" ca="1">INDEX({"Cochin";"Delhi";"Mumbai";"Pune";"Bengaluru"}, RANDBETWEEN(1,5))</f>
        <v>Mumbai</v>
      </c>
      <c r="D372" s="4" t="str" cm="1">
        <f t="array" aca="1" ref="D372" ca="1">INDEX({"C-Class";"E-Class";"S-Class";"GLA";"GLC";"GLE";"GLS";"EQB"}, RANDBETWEEN(1,8))</f>
        <v>GLC</v>
      </c>
      <c r="E372" s="4" t="str">
        <f t="shared" ca="1" si="46"/>
        <v>SUV</v>
      </c>
      <c r="F372" s="4">
        <f t="shared" ca="1" si="47"/>
        <v>3</v>
      </c>
      <c r="G372" s="8">
        <f t="shared" ca="1" si="48"/>
        <v>6633669</v>
      </c>
      <c r="H372" s="8">
        <f t="shared" ca="1" si="49"/>
        <v>19901007</v>
      </c>
      <c r="I372" s="8">
        <f t="shared" ca="1" si="50"/>
        <v>14726745.18</v>
      </c>
      <c r="J372" s="8">
        <f t="shared" ca="1" si="51"/>
        <v>5174261.82</v>
      </c>
      <c r="K372" s="6">
        <f t="shared" ca="1" si="52"/>
        <v>0.26</v>
      </c>
      <c r="L372" s="4" t="str" cm="1">
        <f t="array" aca="1" ref="L37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372" s="8">
        <f t="shared" ca="1" si="53"/>
        <v>3861</v>
      </c>
      <c r="N372" s="4" t="str" cm="1">
        <f t="array" aca="1" ref="N372" ca="1">INDEX({"New";"Repeat"}, RANDBETWEEN(1,2))</f>
        <v>Repeat</v>
      </c>
      <c r="O372" s="4" t="str" cm="1">
        <f t="array" aca="1" ref="O372" ca="1">INDEX({"Loan";"Cash";"Lease"}, RANDBETWEEN(1,3))</f>
        <v>Loan</v>
      </c>
    </row>
    <row r="373" spans="1:15" x14ac:dyDescent="0.2">
      <c r="A373" s="4">
        <v>371</v>
      </c>
      <c r="B373" s="5">
        <f t="shared" ca="1" si="45"/>
        <v>45157</v>
      </c>
      <c r="C373" s="4" t="str" cm="1">
        <f t="array" aca="1" ref="C373" ca="1">INDEX({"Cochin";"Delhi";"Mumbai";"Pune";"Bengaluru"}, RANDBETWEEN(1,5))</f>
        <v>Bengaluru</v>
      </c>
      <c r="D373" s="4" t="str" cm="1">
        <f t="array" aca="1" ref="D373" ca="1">INDEX({"C-Class";"E-Class";"S-Class";"GLA";"GLC";"GLE";"GLS";"EQB"}, RANDBETWEEN(1,8))</f>
        <v>GLC</v>
      </c>
      <c r="E373" s="4" t="str">
        <f t="shared" ca="1" si="46"/>
        <v>SUV</v>
      </c>
      <c r="F373" s="4">
        <f t="shared" ca="1" si="47"/>
        <v>3</v>
      </c>
      <c r="G373" s="8">
        <f t="shared" ca="1" si="48"/>
        <v>7483742</v>
      </c>
      <c r="H373" s="8">
        <f t="shared" ca="1" si="49"/>
        <v>22451226</v>
      </c>
      <c r="I373" s="8">
        <f t="shared" ca="1" si="50"/>
        <v>18410005.32</v>
      </c>
      <c r="J373" s="8">
        <f t="shared" ca="1" si="51"/>
        <v>4041220.6799999997</v>
      </c>
      <c r="K373" s="6">
        <f t="shared" ca="1" si="52"/>
        <v>0.18</v>
      </c>
      <c r="L373" s="4" t="str" cm="1">
        <f t="array" aca="1" ref="L37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73" s="8">
        <f t="shared" ca="1" si="53"/>
        <v>16311</v>
      </c>
      <c r="N373" s="4" t="str" cm="1">
        <f t="array" aca="1" ref="N373" ca="1">INDEX({"New";"Repeat"}, RANDBETWEEN(1,2))</f>
        <v>New</v>
      </c>
      <c r="O373" s="4" t="str" cm="1">
        <f t="array" aca="1" ref="O373" ca="1">INDEX({"Loan";"Cash";"Lease"}, RANDBETWEEN(1,3))</f>
        <v>Loan</v>
      </c>
    </row>
    <row r="374" spans="1:15" x14ac:dyDescent="0.2">
      <c r="A374" s="4">
        <v>372</v>
      </c>
      <c r="B374" s="5">
        <f t="shared" ca="1" si="45"/>
        <v>45042</v>
      </c>
      <c r="C374" s="4" t="str" cm="1">
        <f t="array" aca="1" ref="C374" ca="1">INDEX({"Cochin";"Delhi";"Mumbai";"Pune";"Bengaluru"}, RANDBETWEEN(1,5))</f>
        <v>Delhi</v>
      </c>
      <c r="D374" s="4" t="str" cm="1">
        <f t="array" aca="1" ref="D374" ca="1">INDEX({"C-Class";"E-Class";"S-Class";"GLA";"GLC";"GLE";"GLS";"EQB"}, RANDBETWEEN(1,8))</f>
        <v>GLA</v>
      </c>
      <c r="E374" s="4" t="str">
        <f t="shared" ca="1" si="46"/>
        <v>SUV</v>
      </c>
      <c r="F374" s="4">
        <f t="shared" ca="1" si="47"/>
        <v>2</v>
      </c>
      <c r="G374" s="8">
        <f t="shared" ca="1" si="48"/>
        <v>5396217</v>
      </c>
      <c r="H374" s="8">
        <f t="shared" ca="1" si="49"/>
        <v>10792434</v>
      </c>
      <c r="I374" s="8">
        <f t="shared" ca="1" si="50"/>
        <v>8526022.8599999994</v>
      </c>
      <c r="J374" s="8">
        <f t="shared" ca="1" si="51"/>
        <v>2266411.1400000006</v>
      </c>
      <c r="K374" s="6">
        <f t="shared" ca="1" si="52"/>
        <v>0.21000000000000005</v>
      </c>
      <c r="L374" s="4" t="str" cm="1">
        <f t="array" aca="1" ref="L374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74" s="8">
        <f t="shared" ca="1" si="53"/>
        <v>23323</v>
      </c>
      <c r="N374" s="4" t="str" cm="1">
        <f t="array" aca="1" ref="N374" ca="1">INDEX({"New";"Repeat"}, RANDBETWEEN(1,2))</f>
        <v>New</v>
      </c>
      <c r="O374" s="4" t="str" cm="1">
        <f t="array" aca="1" ref="O374" ca="1">INDEX({"Loan";"Cash";"Lease"}, RANDBETWEEN(1,3))</f>
        <v>Loan</v>
      </c>
    </row>
    <row r="375" spans="1:15" x14ac:dyDescent="0.2">
      <c r="A375" s="4">
        <v>373</v>
      </c>
      <c r="B375" s="5">
        <f t="shared" ca="1" si="45"/>
        <v>45041</v>
      </c>
      <c r="C375" s="4" t="str" cm="1">
        <f t="array" aca="1" ref="C375" ca="1">INDEX({"Cochin";"Delhi";"Mumbai";"Pune";"Bengaluru"}, RANDBETWEEN(1,5))</f>
        <v>Cochin</v>
      </c>
      <c r="D375" s="4" t="str" cm="1">
        <f t="array" aca="1" ref="D375" ca="1">INDEX({"C-Class";"E-Class";"S-Class";"GLA";"GLC";"GLE";"GLS";"EQB"}, RANDBETWEEN(1,8))</f>
        <v>GLS</v>
      </c>
      <c r="E375" s="4" t="str">
        <f t="shared" ca="1" si="46"/>
        <v>SUV</v>
      </c>
      <c r="F375" s="4">
        <f t="shared" ca="1" si="47"/>
        <v>1</v>
      </c>
      <c r="G375" s="8">
        <f t="shared" ca="1" si="48"/>
        <v>17128669</v>
      </c>
      <c r="H375" s="8">
        <f t="shared" ca="1" si="49"/>
        <v>17128669</v>
      </c>
      <c r="I375" s="8">
        <f t="shared" ca="1" si="50"/>
        <v>14216795.27</v>
      </c>
      <c r="J375" s="8">
        <f t="shared" ca="1" si="51"/>
        <v>2911873.7300000004</v>
      </c>
      <c r="K375" s="6">
        <f t="shared" ca="1" si="52"/>
        <v>0.17000000000000004</v>
      </c>
      <c r="L375" s="4" t="str" cm="1">
        <f t="array" aca="1" ref="L37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375" s="8">
        <f t="shared" ca="1" si="53"/>
        <v>13754</v>
      </c>
      <c r="N375" s="4" t="str" cm="1">
        <f t="array" aca="1" ref="N375" ca="1">INDEX({"New";"Repeat"}, RANDBETWEEN(1,2))</f>
        <v>New</v>
      </c>
      <c r="O375" s="4" t="str" cm="1">
        <f t="array" aca="1" ref="O375" ca="1">INDEX({"Loan";"Cash";"Lease"}, RANDBETWEEN(1,3))</f>
        <v>Cash</v>
      </c>
    </row>
    <row r="376" spans="1:15" x14ac:dyDescent="0.2">
      <c r="A376" s="4">
        <v>374</v>
      </c>
      <c r="B376" s="5">
        <f t="shared" ca="1" si="45"/>
        <v>45892</v>
      </c>
      <c r="C376" s="4" t="str" cm="1">
        <f t="array" aca="1" ref="C376" ca="1">INDEX({"Cochin";"Delhi";"Mumbai";"Pune";"Bengaluru"}, RANDBETWEEN(1,5))</f>
        <v>Pune</v>
      </c>
      <c r="D376" s="4" t="str" cm="1">
        <f t="array" aca="1" ref="D376" ca="1">INDEX({"C-Class";"E-Class";"S-Class";"GLA";"GLC";"GLE";"GLS";"EQB"}, RANDBETWEEN(1,8))</f>
        <v>C-Class</v>
      </c>
      <c r="E376" s="4" t="str">
        <f t="shared" ca="1" si="46"/>
        <v>Sedan</v>
      </c>
      <c r="F376" s="4">
        <f t="shared" ca="1" si="47"/>
        <v>4</v>
      </c>
      <c r="G376" s="8">
        <f t="shared" ca="1" si="48"/>
        <v>6589563</v>
      </c>
      <c r="H376" s="8">
        <f t="shared" ca="1" si="49"/>
        <v>26358252</v>
      </c>
      <c r="I376" s="8">
        <f t="shared" ca="1" si="50"/>
        <v>19241523.960000001</v>
      </c>
      <c r="J376" s="8">
        <f t="shared" ca="1" si="51"/>
        <v>7116728.0399999991</v>
      </c>
      <c r="K376" s="6">
        <f t="shared" ca="1" si="52"/>
        <v>0.26999999999999996</v>
      </c>
      <c r="L376" s="4" t="str" cm="1">
        <f t="array" aca="1" ref="L37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76" s="8">
        <f t="shared" ca="1" si="53"/>
        <v>24879</v>
      </c>
      <c r="N376" s="4" t="str" cm="1">
        <f t="array" aca="1" ref="N376" ca="1">INDEX({"New";"Repeat"}, RANDBETWEEN(1,2))</f>
        <v>New</v>
      </c>
      <c r="O376" s="4" t="str" cm="1">
        <f t="array" aca="1" ref="O376" ca="1">INDEX({"Loan";"Cash";"Lease"}, RANDBETWEEN(1,3))</f>
        <v>Cash</v>
      </c>
    </row>
    <row r="377" spans="1:15" x14ac:dyDescent="0.2">
      <c r="A377" s="4">
        <v>375</v>
      </c>
      <c r="B377" s="5">
        <f t="shared" ca="1" si="45"/>
        <v>45819</v>
      </c>
      <c r="C377" s="4" t="str" cm="1">
        <f t="array" aca="1" ref="C377" ca="1">INDEX({"Cochin";"Delhi";"Mumbai";"Pune";"Bengaluru"}, RANDBETWEEN(1,5))</f>
        <v>Cochin</v>
      </c>
      <c r="D377" s="4" t="str" cm="1">
        <f t="array" aca="1" ref="D377" ca="1">INDEX({"C-Class";"E-Class";"S-Class";"GLA";"GLC";"GLE";"GLS";"EQB"}, RANDBETWEEN(1,8))</f>
        <v>GLS</v>
      </c>
      <c r="E377" s="4" t="str">
        <f t="shared" ca="1" si="46"/>
        <v>SUV</v>
      </c>
      <c r="F377" s="4">
        <f t="shared" ca="1" si="47"/>
        <v>2</v>
      </c>
      <c r="G377" s="8">
        <f t="shared" ca="1" si="48"/>
        <v>15328761</v>
      </c>
      <c r="H377" s="8">
        <f t="shared" ca="1" si="49"/>
        <v>30657522</v>
      </c>
      <c r="I377" s="8">
        <f t="shared" ca="1" si="50"/>
        <v>22379991.059999999</v>
      </c>
      <c r="J377" s="8">
        <f t="shared" ca="1" si="51"/>
        <v>8277530.9400000013</v>
      </c>
      <c r="K377" s="6">
        <f t="shared" ca="1" si="52"/>
        <v>0.27</v>
      </c>
      <c r="L377" s="4" t="str" cm="1">
        <f t="array" aca="1" ref="L37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77" s="8">
        <f t="shared" ca="1" si="53"/>
        <v>7368</v>
      </c>
      <c r="N377" s="4" t="str" cm="1">
        <f t="array" aca="1" ref="N377" ca="1">INDEX({"New";"Repeat"}, RANDBETWEEN(1,2))</f>
        <v>Repeat</v>
      </c>
      <c r="O377" s="4" t="str" cm="1">
        <f t="array" aca="1" ref="O377" ca="1">INDEX({"Loan";"Cash";"Lease"}, RANDBETWEEN(1,3))</f>
        <v>Loan</v>
      </c>
    </row>
    <row r="378" spans="1:15" x14ac:dyDescent="0.2">
      <c r="A378" s="4">
        <v>376</v>
      </c>
      <c r="B378" s="5">
        <f t="shared" ca="1" si="45"/>
        <v>45803</v>
      </c>
      <c r="C378" s="4" t="str" cm="1">
        <f t="array" aca="1" ref="C378" ca="1">INDEX({"Cochin";"Delhi";"Mumbai";"Pune";"Bengaluru"}, RANDBETWEEN(1,5))</f>
        <v>Delhi</v>
      </c>
      <c r="D378" s="4" t="str" cm="1">
        <f t="array" aca="1" ref="D378" ca="1">INDEX({"C-Class";"E-Class";"S-Class";"GLA";"GLC";"GLE";"GLS";"EQB"}, RANDBETWEEN(1,8))</f>
        <v>GLE</v>
      </c>
      <c r="E378" s="4" t="str">
        <f t="shared" ca="1" si="46"/>
        <v>SUV</v>
      </c>
      <c r="F378" s="4">
        <f t="shared" ca="1" si="47"/>
        <v>2</v>
      </c>
      <c r="G378" s="8">
        <f t="shared" ca="1" si="48"/>
        <v>10104566</v>
      </c>
      <c r="H378" s="8">
        <f t="shared" ca="1" si="49"/>
        <v>20209132</v>
      </c>
      <c r="I378" s="8">
        <f t="shared" ca="1" si="50"/>
        <v>14550575.039999999</v>
      </c>
      <c r="J378" s="8">
        <f t="shared" ca="1" si="51"/>
        <v>5658556.9600000009</v>
      </c>
      <c r="K378" s="6">
        <f t="shared" ca="1" si="52"/>
        <v>0.28000000000000003</v>
      </c>
      <c r="L378" s="4" t="str" cm="1">
        <f t="array" aca="1" ref="L37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378" s="8">
        <f t="shared" ca="1" si="53"/>
        <v>3440</v>
      </c>
      <c r="N378" s="4" t="str" cm="1">
        <f t="array" aca="1" ref="N378" ca="1">INDEX({"New";"Repeat"}, RANDBETWEEN(1,2))</f>
        <v>Repeat</v>
      </c>
      <c r="O378" s="4" t="str" cm="1">
        <f t="array" aca="1" ref="O378" ca="1">INDEX({"Loan";"Cash";"Lease"}, RANDBETWEEN(1,3))</f>
        <v>Lease</v>
      </c>
    </row>
    <row r="379" spans="1:15" x14ac:dyDescent="0.2">
      <c r="A379" s="4">
        <v>377</v>
      </c>
      <c r="B379" s="5">
        <f t="shared" ca="1" si="45"/>
        <v>45227</v>
      </c>
      <c r="C379" s="4" t="str" cm="1">
        <f t="array" aca="1" ref="C379" ca="1">INDEX({"Cochin";"Delhi";"Mumbai";"Pune";"Bengaluru"}, RANDBETWEEN(1,5))</f>
        <v>Cochin</v>
      </c>
      <c r="D379" s="4" t="str" cm="1">
        <f t="array" aca="1" ref="D379" ca="1">INDEX({"C-Class";"E-Class";"S-Class";"GLA";"GLC";"GLE";"GLS";"EQB"}, RANDBETWEEN(1,8))</f>
        <v>E-Class</v>
      </c>
      <c r="E379" s="4" t="str">
        <f t="shared" ca="1" si="46"/>
        <v>Sedan</v>
      </c>
      <c r="F379" s="4">
        <f t="shared" ca="1" si="47"/>
        <v>5</v>
      </c>
      <c r="G379" s="8">
        <f t="shared" ca="1" si="48"/>
        <v>8894789</v>
      </c>
      <c r="H379" s="8">
        <f t="shared" ca="1" si="49"/>
        <v>44473945</v>
      </c>
      <c r="I379" s="8">
        <f t="shared" ca="1" si="50"/>
        <v>35579156</v>
      </c>
      <c r="J379" s="8">
        <f t="shared" ca="1" si="51"/>
        <v>8894789</v>
      </c>
      <c r="K379" s="6">
        <f t="shared" ca="1" si="52"/>
        <v>0.2</v>
      </c>
      <c r="L379" s="4" t="str" cm="1">
        <f t="array" aca="1" ref="L379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79" s="8">
        <f t="shared" ca="1" si="53"/>
        <v>5326</v>
      </c>
      <c r="N379" s="4" t="str" cm="1">
        <f t="array" aca="1" ref="N379" ca="1">INDEX({"New";"Repeat"}, RANDBETWEEN(1,2))</f>
        <v>Repeat</v>
      </c>
      <c r="O379" s="4" t="str" cm="1">
        <f t="array" aca="1" ref="O379" ca="1">INDEX({"Loan";"Cash";"Lease"}, RANDBETWEEN(1,3))</f>
        <v>Lease</v>
      </c>
    </row>
    <row r="380" spans="1:15" x14ac:dyDescent="0.2">
      <c r="A380" s="4">
        <v>378</v>
      </c>
      <c r="B380" s="5">
        <f t="shared" ca="1" si="45"/>
        <v>45213</v>
      </c>
      <c r="C380" s="4" t="str" cm="1">
        <f t="array" aca="1" ref="C380" ca="1">INDEX({"Cochin";"Delhi";"Mumbai";"Pune";"Bengaluru"}, RANDBETWEEN(1,5))</f>
        <v>Mumbai</v>
      </c>
      <c r="D380" s="4" t="str" cm="1">
        <f t="array" aca="1" ref="D380" ca="1">INDEX({"C-Class";"E-Class";"S-Class";"GLA";"GLC";"GLE";"GLS";"EQB"}, RANDBETWEEN(1,8))</f>
        <v>GLA</v>
      </c>
      <c r="E380" s="4" t="str">
        <f t="shared" ca="1" si="46"/>
        <v>SUV</v>
      </c>
      <c r="F380" s="4">
        <f t="shared" ca="1" si="47"/>
        <v>2</v>
      </c>
      <c r="G380" s="8">
        <f t="shared" ca="1" si="48"/>
        <v>5468667</v>
      </c>
      <c r="H380" s="8">
        <f t="shared" ca="1" si="49"/>
        <v>10937334</v>
      </c>
      <c r="I380" s="8">
        <f t="shared" ca="1" si="50"/>
        <v>8859240.5399999991</v>
      </c>
      <c r="J380" s="8">
        <f t="shared" ca="1" si="51"/>
        <v>2078093.4600000009</v>
      </c>
      <c r="K380" s="6">
        <f t="shared" ca="1" si="52"/>
        <v>0.19000000000000009</v>
      </c>
      <c r="L380" s="4" t="str" cm="1">
        <f t="array" aca="1" ref="L38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80" s="8">
        <f t="shared" ca="1" si="53"/>
        <v>4663</v>
      </c>
      <c r="N380" s="4" t="str" cm="1">
        <f t="array" aca="1" ref="N380" ca="1">INDEX({"New";"Repeat"}, RANDBETWEEN(1,2))</f>
        <v>Repeat</v>
      </c>
      <c r="O380" s="4" t="str" cm="1">
        <f t="array" aca="1" ref="O380" ca="1">INDEX({"Loan";"Cash";"Lease"}, RANDBETWEEN(1,3))</f>
        <v>Cash</v>
      </c>
    </row>
    <row r="381" spans="1:15" x14ac:dyDescent="0.2">
      <c r="A381" s="4">
        <v>379</v>
      </c>
      <c r="B381" s="5">
        <f t="shared" ca="1" si="45"/>
        <v>45804</v>
      </c>
      <c r="C381" s="4" t="str" cm="1">
        <f t="array" aca="1" ref="C381" ca="1">INDEX({"Cochin";"Delhi";"Mumbai";"Pune";"Bengaluru"}, RANDBETWEEN(1,5))</f>
        <v>Cochin</v>
      </c>
      <c r="D381" s="4" t="str" cm="1">
        <f t="array" aca="1" ref="D381" ca="1">INDEX({"C-Class";"E-Class";"S-Class";"GLA";"GLC";"GLE";"GLS";"EQB"}, RANDBETWEEN(1,8))</f>
        <v>GLE</v>
      </c>
      <c r="E381" s="4" t="str">
        <f t="shared" ca="1" si="46"/>
        <v>SUV</v>
      </c>
      <c r="F381" s="4">
        <f t="shared" ca="1" si="47"/>
        <v>2</v>
      </c>
      <c r="G381" s="8">
        <f t="shared" ca="1" si="48"/>
        <v>12485056</v>
      </c>
      <c r="H381" s="8">
        <f t="shared" ca="1" si="49"/>
        <v>24970112</v>
      </c>
      <c r="I381" s="8">
        <f t="shared" ca="1" si="50"/>
        <v>19476687.359999999</v>
      </c>
      <c r="J381" s="8">
        <f t="shared" ca="1" si="51"/>
        <v>5493424.6400000006</v>
      </c>
      <c r="K381" s="6">
        <f t="shared" ca="1" si="52"/>
        <v>0.22000000000000003</v>
      </c>
      <c r="L381" s="4" t="str" cm="1">
        <f t="array" aca="1" ref="L38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81" s="8">
        <f t="shared" ca="1" si="53"/>
        <v>12546</v>
      </c>
      <c r="N381" s="4" t="str" cm="1">
        <f t="array" aca="1" ref="N381" ca="1">INDEX({"New";"Repeat"}, RANDBETWEEN(1,2))</f>
        <v>New</v>
      </c>
      <c r="O381" s="4" t="str" cm="1">
        <f t="array" aca="1" ref="O381" ca="1">INDEX({"Loan";"Cash";"Lease"}, RANDBETWEEN(1,3))</f>
        <v>Cash</v>
      </c>
    </row>
    <row r="382" spans="1:15" x14ac:dyDescent="0.2">
      <c r="A382" s="4">
        <v>380</v>
      </c>
      <c r="B382" s="5">
        <f t="shared" ca="1" si="45"/>
        <v>44970</v>
      </c>
      <c r="C382" s="4" t="str" cm="1">
        <f t="array" aca="1" ref="C382" ca="1">INDEX({"Cochin";"Delhi";"Mumbai";"Pune";"Bengaluru"}, RANDBETWEEN(1,5))</f>
        <v>Bengaluru</v>
      </c>
      <c r="D382" s="4" t="str" cm="1">
        <f t="array" aca="1" ref="D382" ca="1">INDEX({"C-Class";"E-Class";"S-Class";"GLA";"GLC";"GLE";"GLS";"EQB"}, RANDBETWEEN(1,8))</f>
        <v>GLS</v>
      </c>
      <c r="E382" s="4" t="str">
        <f t="shared" ca="1" si="46"/>
        <v>SUV</v>
      </c>
      <c r="F382" s="4">
        <f t="shared" ca="1" si="47"/>
        <v>4</v>
      </c>
      <c r="G382" s="8">
        <f t="shared" ca="1" si="48"/>
        <v>17010114</v>
      </c>
      <c r="H382" s="8">
        <f t="shared" ca="1" si="49"/>
        <v>68040456</v>
      </c>
      <c r="I382" s="8">
        <f t="shared" ca="1" si="50"/>
        <v>56473578.479999997</v>
      </c>
      <c r="J382" s="8">
        <f t="shared" ca="1" si="51"/>
        <v>11566877.520000003</v>
      </c>
      <c r="K382" s="6">
        <f t="shared" ca="1" si="52"/>
        <v>0.17000000000000004</v>
      </c>
      <c r="L382" s="4" t="str" cm="1">
        <f t="array" aca="1" ref="L38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382" s="8">
        <f t="shared" ca="1" si="53"/>
        <v>17950</v>
      </c>
      <c r="N382" s="4" t="str" cm="1">
        <f t="array" aca="1" ref="N382" ca="1">INDEX({"New";"Repeat"}, RANDBETWEEN(1,2))</f>
        <v>New</v>
      </c>
      <c r="O382" s="4" t="str" cm="1">
        <f t="array" aca="1" ref="O382" ca="1">INDEX({"Loan";"Cash";"Lease"}, RANDBETWEEN(1,3))</f>
        <v>Cash</v>
      </c>
    </row>
    <row r="383" spans="1:15" x14ac:dyDescent="0.2">
      <c r="A383" s="4">
        <v>381</v>
      </c>
      <c r="B383" s="5">
        <f t="shared" ca="1" si="45"/>
        <v>45873</v>
      </c>
      <c r="C383" s="4" t="str" cm="1">
        <f t="array" aca="1" ref="C383" ca="1">INDEX({"Cochin";"Delhi";"Mumbai";"Pune";"Bengaluru"}, RANDBETWEEN(1,5))</f>
        <v>Delhi</v>
      </c>
      <c r="D383" s="4" t="str" cm="1">
        <f t="array" aca="1" ref="D383" ca="1">INDEX({"C-Class";"E-Class";"S-Class";"GLA";"GLC";"GLE";"GLS";"EQB"}, RANDBETWEEN(1,8))</f>
        <v>GLE</v>
      </c>
      <c r="E383" s="4" t="str">
        <f t="shared" ca="1" si="46"/>
        <v>SUV</v>
      </c>
      <c r="F383" s="4">
        <f t="shared" ca="1" si="47"/>
        <v>5</v>
      </c>
      <c r="G383" s="8">
        <f t="shared" ca="1" si="48"/>
        <v>12980355</v>
      </c>
      <c r="H383" s="8">
        <f t="shared" ca="1" si="49"/>
        <v>64901775</v>
      </c>
      <c r="I383" s="8">
        <f t="shared" ca="1" si="50"/>
        <v>48676331.25</v>
      </c>
      <c r="J383" s="8">
        <f t="shared" ca="1" si="51"/>
        <v>16225443.75</v>
      </c>
      <c r="K383" s="6">
        <f t="shared" ca="1" si="52"/>
        <v>0.25</v>
      </c>
      <c r="L383" s="4" t="str" cm="1">
        <f t="array" aca="1" ref="L383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383" s="8">
        <f t="shared" ca="1" si="53"/>
        <v>3828</v>
      </c>
      <c r="N383" s="4" t="str" cm="1">
        <f t="array" aca="1" ref="N383" ca="1">INDEX({"New";"Repeat"}, RANDBETWEEN(1,2))</f>
        <v>Repeat</v>
      </c>
      <c r="O383" s="4" t="str" cm="1">
        <f t="array" aca="1" ref="O383" ca="1">INDEX({"Loan";"Cash";"Lease"}, RANDBETWEEN(1,3))</f>
        <v>Loan</v>
      </c>
    </row>
    <row r="384" spans="1:15" x14ac:dyDescent="0.2">
      <c r="A384" s="4">
        <v>382</v>
      </c>
      <c r="B384" s="5">
        <f t="shared" ca="1" si="45"/>
        <v>45206</v>
      </c>
      <c r="C384" s="4" t="str" cm="1">
        <f t="array" aca="1" ref="C384" ca="1">INDEX({"Cochin";"Delhi";"Mumbai";"Pune";"Bengaluru"}, RANDBETWEEN(1,5))</f>
        <v>Pune</v>
      </c>
      <c r="D384" s="4" t="str" cm="1">
        <f t="array" aca="1" ref="D384" ca="1">INDEX({"C-Class";"E-Class";"S-Class";"GLA";"GLC";"GLE";"GLS";"EQB"}, RANDBETWEEN(1,8))</f>
        <v>GLC</v>
      </c>
      <c r="E384" s="4" t="str">
        <f t="shared" ca="1" si="46"/>
        <v>SUV</v>
      </c>
      <c r="F384" s="4">
        <f t="shared" ca="1" si="47"/>
        <v>2</v>
      </c>
      <c r="G384" s="8">
        <f t="shared" ca="1" si="48"/>
        <v>6888371</v>
      </c>
      <c r="H384" s="8">
        <f t="shared" ca="1" si="49"/>
        <v>13776742</v>
      </c>
      <c r="I384" s="8">
        <f t="shared" ca="1" si="50"/>
        <v>11710230.699999999</v>
      </c>
      <c r="J384" s="8">
        <f t="shared" ca="1" si="51"/>
        <v>2066511.3000000007</v>
      </c>
      <c r="K384" s="6">
        <f t="shared" ca="1" si="52"/>
        <v>0.15000000000000005</v>
      </c>
      <c r="L384" s="4" t="str" cm="1">
        <f t="array" aca="1" ref="L38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84" s="8">
        <f t="shared" ca="1" si="53"/>
        <v>5301</v>
      </c>
      <c r="N384" s="4" t="str" cm="1">
        <f t="array" aca="1" ref="N384" ca="1">INDEX({"New";"Repeat"}, RANDBETWEEN(1,2))</f>
        <v>Repeat</v>
      </c>
      <c r="O384" s="4" t="str" cm="1">
        <f t="array" aca="1" ref="O384" ca="1">INDEX({"Loan";"Cash";"Lease"}, RANDBETWEEN(1,3))</f>
        <v>Cash</v>
      </c>
    </row>
    <row r="385" spans="1:15" x14ac:dyDescent="0.2">
      <c r="A385" s="4">
        <v>383</v>
      </c>
      <c r="B385" s="5">
        <f t="shared" ca="1" si="45"/>
        <v>45877</v>
      </c>
      <c r="C385" s="4" t="str" cm="1">
        <f t="array" aca="1" ref="C385" ca="1">INDEX({"Cochin";"Delhi";"Mumbai";"Pune";"Bengaluru"}, RANDBETWEEN(1,5))</f>
        <v>Cochin</v>
      </c>
      <c r="D385" s="4" t="str" cm="1">
        <f t="array" aca="1" ref="D385" ca="1">INDEX({"C-Class";"E-Class";"S-Class";"GLA";"GLC";"GLE";"GLS";"EQB"}, RANDBETWEEN(1,8))</f>
        <v>E-Class</v>
      </c>
      <c r="E385" s="4" t="str">
        <f t="shared" ca="1" si="46"/>
        <v>Sedan</v>
      </c>
      <c r="F385" s="4">
        <f t="shared" ca="1" si="47"/>
        <v>5</v>
      </c>
      <c r="G385" s="8">
        <f t="shared" ca="1" si="48"/>
        <v>9290990</v>
      </c>
      <c r="H385" s="8">
        <f t="shared" ca="1" si="49"/>
        <v>46454950</v>
      </c>
      <c r="I385" s="8">
        <f t="shared" ca="1" si="50"/>
        <v>37163960</v>
      </c>
      <c r="J385" s="8">
        <f t="shared" ca="1" si="51"/>
        <v>9290990</v>
      </c>
      <c r="K385" s="6">
        <f t="shared" ca="1" si="52"/>
        <v>0.2</v>
      </c>
      <c r="L385" s="4" t="str" cm="1">
        <f t="array" aca="1" ref="L38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385" s="8">
        <f t="shared" ca="1" si="53"/>
        <v>22080</v>
      </c>
      <c r="N385" s="4" t="str" cm="1">
        <f t="array" aca="1" ref="N385" ca="1">INDEX({"New";"Repeat"}, RANDBETWEEN(1,2))</f>
        <v>New</v>
      </c>
      <c r="O385" s="4" t="str" cm="1">
        <f t="array" aca="1" ref="O385" ca="1">INDEX({"Loan";"Cash";"Lease"}, RANDBETWEEN(1,3))</f>
        <v>Lease</v>
      </c>
    </row>
    <row r="386" spans="1:15" x14ac:dyDescent="0.2">
      <c r="A386" s="4">
        <v>384</v>
      </c>
      <c r="B386" s="5">
        <f t="shared" ca="1" si="45"/>
        <v>45261</v>
      </c>
      <c r="C386" s="4" t="str" cm="1">
        <f t="array" aca="1" ref="C386" ca="1">INDEX({"Cochin";"Delhi";"Mumbai";"Pune";"Bengaluru"}, RANDBETWEEN(1,5))</f>
        <v>Mumbai</v>
      </c>
      <c r="D386" s="4" t="str" cm="1">
        <f t="array" aca="1" ref="D386" ca="1">INDEX({"C-Class";"E-Class";"S-Class";"GLA";"GLC";"GLE";"GLS";"EQB"}, RANDBETWEEN(1,8))</f>
        <v>GLE</v>
      </c>
      <c r="E386" s="4" t="str">
        <f t="shared" ca="1" si="46"/>
        <v>SUV</v>
      </c>
      <c r="F386" s="4">
        <f t="shared" ca="1" si="47"/>
        <v>2</v>
      </c>
      <c r="G386" s="8">
        <f t="shared" ca="1" si="48"/>
        <v>11704876</v>
      </c>
      <c r="H386" s="8">
        <f t="shared" ca="1" si="49"/>
        <v>23409752</v>
      </c>
      <c r="I386" s="8">
        <f t="shared" ca="1" si="50"/>
        <v>19195996.640000001</v>
      </c>
      <c r="J386" s="8">
        <f t="shared" ca="1" si="51"/>
        <v>4213755.3599999994</v>
      </c>
      <c r="K386" s="6">
        <f t="shared" ca="1" si="52"/>
        <v>0.17999999999999997</v>
      </c>
      <c r="L386" s="4" t="str" cm="1">
        <f t="array" aca="1" ref="L38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86" s="8">
        <f t="shared" ca="1" si="53"/>
        <v>23491</v>
      </c>
      <c r="N386" s="4" t="str" cm="1">
        <f t="array" aca="1" ref="N386" ca="1">INDEX({"New";"Repeat"}, RANDBETWEEN(1,2))</f>
        <v>New</v>
      </c>
      <c r="O386" s="4" t="str" cm="1">
        <f t="array" aca="1" ref="O386" ca="1">INDEX({"Loan";"Cash";"Lease"}, RANDBETWEEN(1,3))</f>
        <v>Loan</v>
      </c>
    </row>
    <row r="387" spans="1:15" x14ac:dyDescent="0.2">
      <c r="A387" s="4">
        <v>385</v>
      </c>
      <c r="B387" s="5">
        <f t="shared" ca="1" si="45"/>
        <v>45355</v>
      </c>
      <c r="C387" s="4" t="str" cm="1">
        <f t="array" aca="1" ref="C387" ca="1">INDEX({"Cochin";"Delhi";"Mumbai";"Pune";"Bengaluru"}, RANDBETWEEN(1,5))</f>
        <v>Delhi</v>
      </c>
      <c r="D387" s="4" t="str" cm="1">
        <f t="array" aca="1" ref="D387" ca="1">INDEX({"C-Class";"E-Class";"S-Class";"GLA";"GLC";"GLE";"GLS";"EQB"}, RANDBETWEEN(1,8))</f>
        <v>C-Class</v>
      </c>
      <c r="E387" s="4" t="str">
        <f t="shared" ca="1" si="46"/>
        <v>Sedan</v>
      </c>
      <c r="F387" s="4">
        <f t="shared" ca="1" si="47"/>
        <v>5</v>
      </c>
      <c r="G387" s="8">
        <f t="shared" ca="1" si="48"/>
        <v>6222790</v>
      </c>
      <c r="H387" s="8">
        <f t="shared" ca="1" si="49"/>
        <v>31113950</v>
      </c>
      <c r="I387" s="8">
        <f t="shared" ca="1" si="50"/>
        <v>23957741.5</v>
      </c>
      <c r="J387" s="8">
        <f t="shared" ca="1" si="51"/>
        <v>7156208.5</v>
      </c>
      <c r="K387" s="6">
        <f t="shared" ca="1" si="52"/>
        <v>0.23</v>
      </c>
      <c r="L387" s="4" t="str" cm="1">
        <f t="array" aca="1" ref="L38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387" s="8">
        <f t="shared" ca="1" si="53"/>
        <v>4816</v>
      </c>
      <c r="N387" s="4" t="str" cm="1">
        <f t="array" aca="1" ref="N387" ca="1">INDEX({"New";"Repeat"}, RANDBETWEEN(1,2))</f>
        <v>Repeat</v>
      </c>
      <c r="O387" s="4" t="str" cm="1">
        <f t="array" aca="1" ref="O387" ca="1">INDEX({"Loan";"Cash";"Lease"}, RANDBETWEEN(1,3))</f>
        <v>Cash</v>
      </c>
    </row>
    <row r="388" spans="1:15" x14ac:dyDescent="0.2">
      <c r="A388" s="4">
        <v>386</v>
      </c>
      <c r="B388" s="5">
        <f t="shared" ref="B388:B451" ca="1" si="54">RANDBETWEEN(DATE(2023,1,1),DATE(2025,9,1))</f>
        <v>45238</v>
      </c>
      <c r="C388" s="4" t="str" cm="1">
        <f t="array" aca="1" ref="C388" ca="1">INDEX({"Cochin";"Delhi";"Mumbai";"Pune";"Bengaluru"}, RANDBETWEEN(1,5))</f>
        <v>Delhi</v>
      </c>
      <c r="D388" s="4" t="str" cm="1">
        <f t="array" aca="1" ref="D388" ca="1">INDEX({"C-Class";"E-Class";"S-Class";"GLA";"GLC";"GLE";"GLS";"EQB"}, RANDBETWEEN(1,8))</f>
        <v>GLC</v>
      </c>
      <c r="E388" s="4" t="str">
        <f t="shared" ref="E388:E451" ca="1" si="55">IF(D388="EQB","EV", IF(OR(D388="GLA",D388="GLC",D388="GLE",D388="GLS"),"SUV","Sedan"))</f>
        <v>SUV</v>
      </c>
      <c r="F388" s="4">
        <f t="shared" ref="F388:F451" ca="1" si="56">RANDBETWEEN(1,5)</f>
        <v>4</v>
      </c>
      <c r="G388" s="8">
        <f t="shared" ref="G388:G451" ca="1" si="57">IF(D388="C-Class",RANDBETWEEN(5500000,7000000),
IF(D388="E-Class",RANDBETWEEN(7500000,9500000),
IF(D388="S-Class",RANDBETWEEN(15000000,25000000),
IF(D388="GLA",RANDBETWEEN(4500000,5500000),
IF(D388="GLC",RANDBETWEEN(6500000,7500000),
IF(D388="GLE",RANDBETWEEN(9000000,13000000),
IF(D388="GLS",RANDBETWEEN(13000000,18000000),
IF(D388="EQB",RANDBETWEEN(7000000,8000000)))))))))</f>
        <v>6602657</v>
      </c>
      <c r="H388" s="8">
        <f t="shared" ref="H388:H451" ca="1" si="58">F388*G388</f>
        <v>26410628</v>
      </c>
      <c r="I388" s="8">
        <f t="shared" ref="I388:I451" ca="1" si="59">G388 *F388* RANDBETWEEN(70,85) / 100</f>
        <v>21656714.960000001</v>
      </c>
      <c r="J388" s="8">
        <f t="shared" ref="J388:J451" ca="1" si="60">H388 -I388</f>
        <v>4753913.0399999991</v>
      </c>
      <c r="K388" s="6">
        <f t="shared" ref="K388:K451" ca="1" si="61">J388/H388</f>
        <v>0.17999999999999997</v>
      </c>
      <c r="L388" s="4" t="str" cm="1">
        <f t="array" aca="1" ref="L388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388" s="8">
        <f t="shared" ref="M388:M451" ca="1" si="62">IF(N388="New", RANDBETWEEN(10000,25000), RANDBETWEEN(3000,8000))</f>
        <v>22282</v>
      </c>
      <c r="N388" s="4" t="str" cm="1">
        <f t="array" aca="1" ref="N388" ca="1">INDEX({"New";"Repeat"}, RANDBETWEEN(1,2))</f>
        <v>New</v>
      </c>
      <c r="O388" s="4" t="str" cm="1">
        <f t="array" aca="1" ref="O388" ca="1">INDEX({"Loan";"Cash";"Lease"}, RANDBETWEEN(1,3))</f>
        <v>Cash</v>
      </c>
    </row>
    <row r="389" spans="1:15" x14ac:dyDescent="0.2">
      <c r="A389" s="4">
        <v>387</v>
      </c>
      <c r="B389" s="5">
        <f t="shared" ca="1" si="54"/>
        <v>45824</v>
      </c>
      <c r="C389" s="4" t="str" cm="1">
        <f t="array" aca="1" ref="C389" ca="1">INDEX({"Cochin";"Delhi";"Mumbai";"Pune";"Bengaluru"}, RANDBETWEEN(1,5))</f>
        <v>Delhi</v>
      </c>
      <c r="D389" s="4" t="str" cm="1">
        <f t="array" aca="1" ref="D389" ca="1">INDEX({"C-Class";"E-Class";"S-Class";"GLA";"GLC";"GLE";"GLS";"EQB"}, RANDBETWEEN(1,8))</f>
        <v>C-Class</v>
      </c>
      <c r="E389" s="4" t="str">
        <f t="shared" ca="1" si="55"/>
        <v>Sedan</v>
      </c>
      <c r="F389" s="4">
        <f t="shared" ca="1" si="56"/>
        <v>1</v>
      </c>
      <c r="G389" s="8">
        <f t="shared" ca="1" si="57"/>
        <v>6060183</v>
      </c>
      <c r="H389" s="8">
        <f t="shared" ca="1" si="58"/>
        <v>6060183</v>
      </c>
      <c r="I389" s="8">
        <f t="shared" ca="1" si="59"/>
        <v>5090553.72</v>
      </c>
      <c r="J389" s="8">
        <f t="shared" ca="1" si="60"/>
        <v>969629.28000000026</v>
      </c>
      <c r="K389" s="6">
        <f t="shared" ca="1" si="61"/>
        <v>0.16000000000000003</v>
      </c>
      <c r="L389" s="4" t="str" cm="1">
        <f t="array" aca="1" ref="L389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89" s="8">
        <f t="shared" ca="1" si="62"/>
        <v>20573</v>
      </c>
      <c r="N389" s="4" t="str" cm="1">
        <f t="array" aca="1" ref="N389" ca="1">INDEX({"New";"Repeat"}, RANDBETWEEN(1,2))</f>
        <v>New</v>
      </c>
      <c r="O389" s="4" t="str" cm="1">
        <f t="array" aca="1" ref="O389" ca="1">INDEX({"Loan";"Cash";"Lease"}, RANDBETWEEN(1,3))</f>
        <v>Loan</v>
      </c>
    </row>
    <row r="390" spans="1:15" x14ac:dyDescent="0.2">
      <c r="A390" s="4">
        <v>388</v>
      </c>
      <c r="B390" s="5">
        <f t="shared" ca="1" si="54"/>
        <v>45802</v>
      </c>
      <c r="C390" s="4" t="str" cm="1">
        <f t="array" aca="1" ref="C390" ca="1">INDEX({"Cochin";"Delhi";"Mumbai";"Pune";"Bengaluru"}, RANDBETWEEN(1,5))</f>
        <v>Delhi</v>
      </c>
      <c r="D390" s="4" t="str" cm="1">
        <f t="array" aca="1" ref="D390" ca="1">INDEX({"C-Class";"E-Class";"S-Class";"GLA";"GLC";"GLE";"GLS";"EQB"}, RANDBETWEEN(1,8))</f>
        <v>GLE</v>
      </c>
      <c r="E390" s="4" t="str">
        <f t="shared" ca="1" si="55"/>
        <v>SUV</v>
      </c>
      <c r="F390" s="4">
        <f t="shared" ca="1" si="56"/>
        <v>3</v>
      </c>
      <c r="G390" s="8">
        <f t="shared" ca="1" si="57"/>
        <v>11570725</v>
      </c>
      <c r="H390" s="8">
        <f t="shared" ca="1" si="58"/>
        <v>34712175</v>
      </c>
      <c r="I390" s="8">
        <f t="shared" ca="1" si="59"/>
        <v>24298522.5</v>
      </c>
      <c r="J390" s="8">
        <f t="shared" ca="1" si="60"/>
        <v>10413652.5</v>
      </c>
      <c r="K390" s="6">
        <f t="shared" ca="1" si="61"/>
        <v>0.3</v>
      </c>
      <c r="L390" s="4" t="str" cm="1">
        <f t="array" aca="1" ref="L39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90" s="8">
        <f t="shared" ca="1" si="62"/>
        <v>4561</v>
      </c>
      <c r="N390" s="4" t="str" cm="1">
        <f t="array" aca="1" ref="N390" ca="1">INDEX({"New";"Repeat"}, RANDBETWEEN(1,2))</f>
        <v>Repeat</v>
      </c>
      <c r="O390" s="4" t="str" cm="1">
        <f t="array" aca="1" ref="O390" ca="1">INDEX({"Loan";"Cash";"Lease"}, RANDBETWEEN(1,3))</f>
        <v>Lease</v>
      </c>
    </row>
    <row r="391" spans="1:15" x14ac:dyDescent="0.2">
      <c r="A391" s="4">
        <v>389</v>
      </c>
      <c r="B391" s="5">
        <f t="shared" ca="1" si="54"/>
        <v>45609</v>
      </c>
      <c r="C391" s="4" t="str" cm="1">
        <f t="array" aca="1" ref="C391" ca="1">INDEX({"Cochin";"Delhi";"Mumbai";"Pune";"Bengaluru"}, RANDBETWEEN(1,5))</f>
        <v>Mumbai</v>
      </c>
      <c r="D391" s="4" t="str" cm="1">
        <f t="array" aca="1" ref="D391" ca="1">INDEX({"C-Class";"E-Class";"S-Class";"GLA";"GLC";"GLE";"GLS";"EQB"}, RANDBETWEEN(1,8))</f>
        <v>GLS</v>
      </c>
      <c r="E391" s="4" t="str">
        <f t="shared" ca="1" si="55"/>
        <v>SUV</v>
      </c>
      <c r="F391" s="4">
        <f t="shared" ca="1" si="56"/>
        <v>3</v>
      </c>
      <c r="G391" s="8">
        <f t="shared" ca="1" si="57"/>
        <v>13873241</v>
      </c>
      <c r="H391" s="8">
        <f t="shared" ca="1" si="58"/>
        <v>41619723</v>
      </c>
      <c r="I391" s="8">
        <f t="shared" ca="1" si="59"/>
        <v>33295778.399999999</v>
      </c>
      <c r="J391" s="8">
        <f t="shared" ca="1" si="60"/>
        <v>8323944.6000000015</v>
      </c>
      <c r="K391" s="6">
        <f t="shared" ca="1" si="61"/>
        <v>0.20000000000000004</v>
      </c>
      <c r="L391" s="4" t="str" cm="1">
        <f t="array" aca="1" ref="L39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91" s="8">
        <f t="shared" ca="1" si="62"/>
        <v>3569</v>
      </c>
      <c r="N391" s="4" t="str" cm="1">
        <f t="array" aca="1" ref="N391" ca="1">INDEX({"New";"Repeat"}, RANDBETWEEN(1,2))</f>
        <v>Repeat</v>
      </c>
      <c r="O391" s="4" t="str" cm="1">
        <f t="array" aca="1" ref="O391" ca="1">INDEX({"Loan";"Cash";"Lease"}, RANDBETWEEN(1,3))</f>
        <v>Lease</v>
      </c>
    </row>
    <row r="392" spans="1:15" x14ac:dyDescent="0.2">
      <c r="A392" s="4">
        <v>390</v>
      </c>
      <c r="B392" s="5">
        <f t="shared" ca="1" si="54"/>
        <v>45670</v>
      </c>
      <c r="C392" s="4" t="str" cm="1">
        <f t="array" aca="1" ref="C392" ca="1">INDEX({"Cochin";"Delhi";"Mumbai";"Pune";"Bengaluru"}, RANDBETWEEN(1,5))</f>
        <v>Cochin</v>
      </c>
      <c r="D392" s="4" t="str" cm="1">
        <f t="array" aca="1" ref="D392" ca="1">INDEX({"C-Class";"E-Class";"S-Class";"GLA";"GLC";"GLE";"GLS";"EQB"}, RANDBETWEEN(1,8))</f>
        <v>GLC</v>
      </c>
      <c r="E392" s="4" t="str">
        <f t="shared" ca="1" si="55"/>
        <v>SUV</v>
      </c>
      <c r="F392" s="4">
        <f t="shared" ca="1" si="56"/>
        <v>2</v>
      </c>
      <c r="G392" s="8">
        <f t="shared" ca="1" si="57"/>
        <v>6577576</v>
      </c>
      <c r="H392" s="8">
        <f t="shared" ca="1" si="58"/>
        <v>13155152</v>
      </c>
      <c r="I392" s="8">
        <f t="shared" ca="1" si="59"/>
        <v>10918776.16</v>
      </c>
      <c r="J392" s="8">
        <f t="shared" ca="1" si="60"/>
        <v>2236375.84</v>
      </c>
      <c r="K392" s="6">
        <f t="shared" ca="1" si="61"/>
        <v>0.16999999999999998</v>
      </c>
      <c r="L392" s="4" t="str" cm="1">
        <f t="array" aca="1" ref="L392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92" s="8">
        <f t="shared" ca="1" si="62"/>
        <v>11348</v>
      </c>
      <c r="N392" s="4" t="str" cm="1">
        <f t="array" aca="1" ref="N392" ca="1">INDEX({"New";"Repeat"}, RANDBETWEEN(1,2))</f>
        <v>New</v>
      </c>
      <c r="O392" s="4" t="str" cm="1">
        <f t="array" aca="1" ref="O392" ca="1">INDEX({"Loan";"Cash";"Lease"}, RANDBETWEEN(1,3))</f>
        <v>Lease</v>
      </c>
    </row>
    <row r="393" spans="1:15" x14ac:dyDescent="0.2">
      <c r="A393" s="4">
        <v>391</v>
      </c>
      <c r="B393" s="5">
        <f t="shared" ca="1" si="54"/>
        <v>45479</v>
      </c>
      <c r="C393" s="4" t="str" cm="1">
        <f t="array" aca="1" ref="C393" ca="1">INDEX({"Cochin";"Delhi";"Mumbai";"Pune";"Bengaluru"}, RANDBETWEEN(1,5))</f>
        <v>Pune</v>
      </c>
      <c r="D393" s="4" t="str" cm="1">
        <f t="array" aca="1" ref="D393" ca="1">INDEX({"C-Class";"E-Class";"S-Class";"GLA";"GLC";"GLE";"GLS";"EQB"}, RANDBETWEEN(1,8))</f>
        <v>E-Class</v>
      </c>
      <c r="E393" s="4" t="str">
        <f t="shared" ca="1" si="55"/>
        <v>Sedan</v>
      </c>
      <c r="F393" s="4">
        <f t="shared" ca="1" si="56"/>
        <v>1</v>
      </c>
      <c r="G393" s="8">
        <f t="shared" ca="1" si="57"/>
        <v>7762734</v>
      </c>
      <c r="H393" s="8">
        <f t="shared" ca="1" si="58"/>
        <v>7762734</v>
      </c>
      <c r="I393" s="8">
        <f t="shared" ca="1" si="59"/>
        <v>6054932.5199999996</v>
      </c>
      <c r="J393" s="8">
        <f t="shared" ca="1" si="60"/>
        <v>1707801.4800000004</v>
      </c>
      <c r="K393" s="6">
        <f t="shared" ca="1" si="61"/>
        <v>0.22000000000000006</v>
      </c>
      <c r="L393" s="4" t="str" cm="1">
        <f t="array" aca="1" ref="L39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393" s="8">
        <f t="shared" ca="1" si="62"/>
        <v>23456</v>
      </c>
      <c r="N393" s="4" t="str" cm="1">
        <f t="array" aca="1" ref="N393" ca="1">INDEX({"New";"Repeat"}, RANDBETWEEN(1,2))</f>
        <v>New</v>
      </c>
      <c r="O393" s="4" t="str" cm="1">
        <f t="array" aca="1" ref="O393" ca="1">INDEX({"Loan";"Cash";"Lease"}, RANDBETWEEN(1,3))</f>
        <v>Cash</v>
      </c>
    </row>
    <row r="394" spans="1:15" x14ac:dyDescent="0.2">
      <c r="A394" s="4">
        <v>392</v>
      </c>
      <c r="B394" s="5">
        <f t="shared" ca="1" si="54"/>
        <v>45332</v>
      </c>
      <c r="C394" s="4" t="str" cm="1">
        <f t="array" aca="1" ref="C394" ca="1">INDEX({"Cochin";"Delhi";"Mumbai";"Pune";"Bengaluru"}, RANDBETWEEN(1,5))</f>
        <v>Pune</v>
      </c>
      <c r="D394" s="4" t="str" cm="1">
        <f t="array" aca="1" ref="D394" ca="1">INDEX({"C-Class";"E-Class";"S-Class";"GLA";"GLC";"GLE";"GLS";"EQB"}, RANDBETWEEN(1,8))</f>
        <v>E-Class</v>
      </c>
      <c r="E394" s="4" t="str">
        <f t="shared" ca="1" si="55"/>
        <v>Sedan</v>
      </c>
      <c r="F394" s="4">
        <f t="shared" ca="1" si="56"/>
        <v>5</v>
      </c>
      <c r="G394" s="8">
        <f t="shared" ca="1" si="57"/>
        <v>7559613</v>
      </c>
      <c r="H394" s="8">
        <f t="shared" ca="1" si="58"/>
        <v>37798065</v>
      </c>
      <c r="I394" s="8">
        <f t="shared" ca="1" si="59"/>
        <v>28726529.399999999</v>
      </c>
      <c r="J394" s="8">
        <f t="shared" ca="1" si="60"/>
        <v>9071535.6000000015</v>
      </c>
      <c r="K394" s="6">
        <f t="shared" ca="1" si="61"/>
        <v>0.24000000000000005</v>
      </c>
      <c r="L394" s="4" t="str" cm="1">
        <f t="array" aca="1" ref="L39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394" s="8">
        <f t="shared" ca="1" si="62"/>
        <v>18665</v>
      </c>
      <c r="N394" s="4" t="str" cm="1">
        <f t="array" aca="1" ref="N394" ca="1">INDEX({"New";"Repeat"}, RANDBETWEEN(1,2))</f>
        <v>New</v>
      </c>
      <c r="O394" s="4" t="str" cm="1">
        <f t="array" aca="1" ref="O394" ca="1">INDEX({"Loan";"Cash";"Lease"}, RANDBETWEEN(1,3))</f>
        <v>Lease</v>
      </c>
    </row>
    <row r="395" spans="1:15" x14ac:dyDescent="0.2">
      <c r="A395" s="4">
        <v>393</v>
      </c>
      <c r="B395" s="5">
        <f t="shared" ca="1" si="54"/>
        <v>45535</v>
      </c>
      <c r="C395" s="4" t="str" cm="1">
        <f t="array" aca="1" ref="C395" ca="1">INDEX({"Cochin";"Delhi";"Mumbai";"Pune";"Bengaluru"}, RANDBETWEEN(1,5))</f>
        <v>Mumbai</v>
      </c>
      <c r="D395" s="4" t="str" cm="1">
        <f t="array" aca="1" ref="D395" ca="1">INDEX({"C-Class";"E-Class";"S-Class";"GLA";"GLC";"GLE";"GLS";"EQB"}, RANDBETWEEN(1,8))</f>
        <v>GLE</v>
      </c>
      <c r="E395" s="4" t="str">
        <f t="shared" ca="1" si="55"/>
        <v>SUV</v>
      </c>
      <c r="F395" s="4">
        <f t="shared" ca="1" si="56"/>
        <v>5</v>
      </c>
      <c r="G395" s="8">
        <f t="shared" ca="1" si="57"/>
        <v>10532869</v>
      </c>
      <c r="H395" s="8">
        <f t="shared" ca="1" si="58"/>
        <v>52664345</v>
      </c>
      <c r="I395" s="8">
        <f t="shared" ca="1" si="59"/>
        <v>40024902.200000003</v>
      </c>
      <c r="J395" s="8">
        <f t="shared" ca="1" si="60"/>
        <v>12639442.799999997</v>
      </c>
      <c r="K395" s="6">
        <f t="shared" ca="1" si="61"/>
        <v>0.23999999999999994</v>
      </c>
      <c r="L395" s="4" t="str" cm="1">
        <f t="array" aca="1" ref="L39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395" s="8">
        <f t="shared" ca="1" si="62"/>
        <v>12847</v>
      </c>
      <c r="N395" s="4" t="str" cm="1">
        <f t="array" aca="1" ref="N395" ca="1">INDEX({"New";"Repeat"}, RANDBETWEEN(1,2))</f>
        <v>New</v>
      </c>
      <c r="O395" s="4" t="str" cm="1">
        <f t="array" aca="1" ref="O395" ca="1">INDEX({"Loan";"Cash";"Lease"}, RANDBETWEEN(1,3))</f>
        <v>Cash</v>
      </c>
    </row>
    <row r="396" spans="1:15" x14ac:dyDescent="0.2">
      <c r="A396" s="4">
        <v>394</v>
      </c>
      <c r="B396" s="5">
        <f t="shared" ca="1" si="54"/>
        <v>45776</v>
      </c>
      <c r="C396" s="4" t="str" cm="1">
        <f t="array" aca="1" ref="C396" ca="1">INDEX({"Cochin";"Delhi";"Mumbai";"Pune";"Bengaluru"}, RANDBETWEEN(1,5))</f>
        <v>Cochin</v>
      </c>
      <c r="D396" s="4" t="str" cm="1">
        <f t="array" aca="1" ref="D396" ca="1">INDEX({"C-Class";"E-Class";"S-Class";"GLA";"GLC";"GLE";"GLS";"EQB"}, RANDBETWEEN(1,8))</f>
        <v>S-Class</v>
      </c>
      <c r="E396" s="4" t="str">
        <f t="shared" ca="1" si="55"/>
        <v>Sedan</v>
      </c>
      <c r="F396" s="4">
        <f t="shared" ca="1" si="56"/>
        <v>2</v>
      </c>
      <c r="G396" s="8">
        <f t="shared" ca="1" si="57"/>
        <v>15505130</v>
      </c>
      <c r="H396" s="8">
        <f t="shared" ca="1" si="58"/>
        <v>31010260</v>
      </c>
      <c r="I396" s="8">
        <f t="shared" ca="1" si="59"/>
        <v>24188002.800000001</v>
      </c>
      <c r="J396" s="8">
        <f t="shared" ca="1" si="60"/>
        <v>6822257.1999999993</v>
      </c>
      <c r="K396" s="6">
        <f t="shared" ca="1" si="61"/>
        <v>0.21999999999999997</v>
      </c>
      <c r="L396" s="4" t="str" cm="1">
        <f t="array" aca="1" ref="L396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396" s="8">
        <f t="shared" ca="1" si="62"/>
        <v>10792</v>
      </c>
      <c r="N396" s="4" t="str" cm="1">
        <f t="array" aca="1" ref="N396" ca="1">INDEX({"New";"Repeat"}, RANDBETWEEN(1,2))</f>
        <v>New</v>
      </c>
      <c r="O396" s="4" t="str" cm="1">
        <f t="array" aca="1" ref="O396" ca="1">INDEX({"Loan";"Cash";"Lease"}, RANDBETWEEN(1,3))</f>
        <v>Loan</v>
      </c>
    </row>
    <row r="397" spans="1:15" x14ac:dyDescent="0.2">
      <c r="A397" s="4">
        <v>395</v>
      </c>
      <c r="B397" s="5">
        <f t="shared" ca="1" si="54"/>
        <v>45103</v>
      </c>
      <c r="C397" s="4" t="str" cm="1">
        <f t="array" aca="1" ref="C397" ca="1">INDEX({"Cochin";"Delhi";"Mumbai";"Pune";"Bengaluru"}, RANDBETWEEN(1,5))</f>
        <v>Mumbai</v>
      </c>
      <c r="D397" s="4" t="str" cm="1">
        <f t="array" aca="1" ref="D397" ca="1">INDEX({"C-Class";"E-Class";"S-Class";"GLA";"GLC";"GLE";"GLS";"EQB"}, RANDBETWEEN(1,8))</f>
        <v>E-Class</v>
      </c>
      <c r="E397" s="4" t="str">
        <f t="shared" ca="1" si="55"/>
        <v>Sedan</v>
      </c>
      <c r="F397" s="4">
        <f t="shared" ca="1" si="56"/>
        <v>4</v>
      </c>
      <c r="G397" s="8">
        <f t="shared" ca="1" si="57"/>
        <v>8769806</v>
      </c>
      <c r="H397" s="8">
        <f t="shared" ca="1" si="58"/>
        <v>35079224</v>
      </c>
      <c r="I397" s="8">
        <f t="shared" ca="1" si="59"/>
        <v>27361794.719999999</v>
      </c>
      <c r="J397" s="8">
        <f t="shared" ca="1" si="60"/>
        <v>7717429.2800000012</v>
      </c>
      <c r="K397" s="6">
        <f t="shared" ca="1" si="61"/>
        <v>0.22000000000000003</v>
      </c>
      <c r="L397" s="4" t="str" cm="1">
        <f t="array" aca="1" ref="L39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397" s="8">
        <f t="shared" ca="1" si="62"/>
        <v>18528</v>
      </c>
      <c r="N397" s="4" t="str" cm="1">
        <f t="array" aca="1" ref="N397" ca="1">INDEX({"New";"Repeat"}, RANDBETWEEN(1,2))</f>
        <v>New</v>
      </c>
      <c r="O397" s="4" t="str" cm="1">
        <f t="array" aca="1" ref="O397" ca="1">INDEX({"Loan";"Cash";"Lease"}, RANDBETWEEN(1,3))</f>
        <v>Lease</v>
      </c>
    </row>
    <row r="398" spans="1:15" x14ac:dyDescent="0.2">
      <c r="A398" s="4">
        <v>396</v>
      </c>
      <c r="B398" s="5">
        <f t="shared" ca="1" si="54"/>
        <v>45159</v>
      </c>
      <c r="C398" s="4" t="str" cm="1">
        <f t="array" aca="1" ref="C398" ca="1">INDEX({"Cochin";"Delhi";"Mumbai";"Pune";"Bengaluru"}, RANDBETWEEN(1,5))</f>
        <v>Cochin</v>
      </c>
      <c r="D398" s="4" t="str" cm="1">
        <f t="array" aca="1" ref="D398" ca="1">INDEX({"C-Class";"E-Class";"S-Class";"GLA";"GLC";"GLE";"GLS";"EQB"}, RANDBETWEEN(1,8))</f>
        <v>EQB</v>
      </c>
      <c r="E398" s="4" t="str">
        <f t="shared" ca="1" si="55"/>
        <v>EV</v>
      </c>
      <c r="F398" s="4">
        <f t="shared" ca="1" si="56"/>
        <v>5</v>
      </c>
      <c r="G398" s="8">
        <f t="shared" ca="1" si="57"/>
        <v>7772152</v>
      </c>
      <c r="H398" s="8">
        <f t="shared" ca="1" si="58"/>
        <v>38860760</v>
      </c>
      <c r="I398" s="8">
        <f t="shared" ca="1" si="59"/>
        <v>33031646</v>
      </c>
      <c r="J398" s="8">
        <f t="shared" ca="1" si="60"/>
        <v>5829114</v>
      </c>
      <c r="K398" s="6">
        <f t="shared" ca="1" si="61"/>
        <v>0.15</v>
      </c>
      <c r="L398" s="4" t="str" cm="1">
        <f t="array" aca="1" ref="L39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398" s="8">
        <f t="shared" ca="1" si="62"/>
        <v>4627</v>
      </c>
      <c r="N398" s="4" t="str" cm="1">
        <f t="array" aca="1" ref="N398" ca="1">INDEX({"New";"Repeat"}, RANDBETWEEN(1,2))</f>
        <v>Repeat</v>
      </c>
      <c r="O398" s="4" t="str" cm="1">
        <f t="array" aca="1" ref="O398" ca="1">INDEX({"Loan";"Cash";"Lease"}, RANDBETWEEN(1,3))</f>
        <v>Cash</v>
      </c>
    </row>
    <row r="399" spans="1:15" x14ac:dyDescent="0.2">
      <c r="A399" s="4">
        <v>397</v>
      </c>
      <c r="B399" s="5">
        <f t="shared" ca="1" si="54"/>
        <v>45107</v>
      </c>
      <c r="C399" s="4" t="str" cm="1">
        <f t="array" aca="1" ref="C399" ca="1">INDEX({"Cochin";"Delhi";"Mumbai";"Pune";"Bengaluru"}, RANDBETWEEN(1,5))</f>
        <v>Cochin</v>
      </c>
      <c r="D399" s="4" t="str" cm="1">
        <f t="array" aca="1" ref="D399" ca="1">INDEX({"C-Class";"E-Class";"S-Class";"GLA";"GLC";"GLE";"GLS";"EQB"}, RANDBETWEEN(1,8))</f>
        <v>E-Class</v>
      </c>
      <c r="E399" s="4" t="str">
        <f t="shared" ca="1" si="55"/>
        <v>Sedan</v>
      </c>
      <c r="F399" s="4">
        <f t="shared" ca="1" si="56"/>
        <v>3</v>
      </c>
      <c r="G399" s="8">
        <f t="shared" ca="1" si="57"/>
        <v>8597876</v>
      </c>
      <c r="H399" s="8">
        <f t="shared" ca="1" si="58"/>
        <v>25793628</v>
      </c>
      <c r="I399" s="8">
        <f t="shared" ca="1" si="59"/>
        <v>19861093.559999999</v>
      </c>
      <c r="J399" s="8">
        <f t="shared" ca="1" si="60"/>
        <v>5932534.4400000013</v>
      </c>
      <c r="K399" s="6">
        <f t="shared" ca="1" si="61"/>
        <v>0.23000000000000007</v>
      </c>
      <c r="L399" s="4" t="str" cm="1">
        <f t="array" aca="1" ref="L39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399" s="8">
        <f t="shared" ca="1" si="62"/>
        <v>16485</v>
      </c>
      <c r="N399" s="4" t="str" cm="1">
        <f t="array" aca="1" ref="N399" ca="1">INDEX({"New";"Repeat"}, RANDBETWEEN(1,2))</f>
        <v>New</v>
      </c>
      <c r="O399" s="4" t="str" cm="1">
        <f t="array" aca="1" ref="O399" ca="1">INDEX({"Loan";"Cash";"Lease"}, RANDBETWEEN(1,3))</f>
        <v>Cash</v>
      </c>
    </row>
    <row r="400" spans="1:15" x14ac:dyDescent="0.2">
      <c r="A400" s="4">
        <v>398</v>
      </c>
      <c r="B400" s="5">
        <f t="shared" ca="1" si="54"/>
        <v>45570</v>
      </c>
      <c r="C400" s="4" t="str" cm="1">
        <f t="array" aca="1" ref="C400" ca="1">INDEX({"Cochin";"Delhi";"Mumbai";"Pune";"Bengaluru"}, RANDBETWEEN(1,5))</f>
        <v>Pune</v>
      </c>
      <c r="D400" s="4" t="str" cm="1">
        <f t="array" aca="1" ref="D400" ca="1">INDEX({"C-Class";"E-Class";"S-Class";"GLA";"GLC";"GLE";"GLS";"EQB"}, RANDBETWEEN(1,8))</f>
        <v>S-Class</v>
      </c>
      <c r="E400" s="4" t="str">
        <f t="shared" ca="1" si="55"/>
        <v>Sedan</v>
      </c>
      <c r="F400" s="4">
        <f t="shared" ca="1" si="56"/>
        <v>4</v>
      </c>
      <c r="G400" s="8">
        <f t="shared" ca="1" si="57"/>
        <v>15555463</v>
      </c>
      <c r="H400" s="8">
        <f t="shared" ca="1" si="58"/>
        <v>62221852</v>
      </c>
      <c r="I400" s="8">
        <f t="shared" ca="1" si="59"/>
        <v>45421951.960000001</v>
      </c>
      <c r="J400" s="8">
        <f t="shared" ca="1" si="60"/>
        <v>16799900.039999999</v>
      </c>
      <c r="K400" s="6">
        <f t="shared" ca="1" si="61"/>
        <v>0.26999999999999996</v>
      </c>
      <c r="L400" s="4" t="str" cm="1">
        <f t="array" aca="1" ref="L40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00" s="8">
        <f t="shared" ca="1" si="62"/>
        <v>5009</v>
      </c>
      <c r="N400" s="4" t="str" cm="1">
        <f t="array" aca="1" ref="N400" ca="1">INDEX({"New";"Repeat"}, RANDBETWEEN(1,2))</f>
        <v>Repeat</v>
      </c>
      <c r="O400" s="4" t="str" cm="1">
        <f t="array" aca="1" ref="O400" ca="1">INDEX({"Loan";"Cash";"Lease"}, RANDBETWEEN(1,3))</f>
        <v>Loan</v>
      </c>
    </row>
    <row r="401" spans="1:15" x14ac:dyDescent="0.2">
      <c r="A401" s="4">
        <v>399</v>
      </c>
      <c r="B401" s="5">
        <f t="shared" ca="1" si="54"/>
        <v>45125</v>
      </c>
      <c r="C401" s="4" t="str" cm="1">
        <f t="array" aca="1" ref="C401" ca="1">INDEX({"Cochin";"Delhi";"Mumbai";"Pune";"Bengaluru"}, RANDBETWEEN(1,5))</f>
        <v>Delhi</v>
      </c>
      <c r="D401" s="4" t="str" cm="1">
        <f t="array" aca="1" ref="D401" ca="1">INDEX({"C-Class";"E-Class";"S-Class";"GLA";"GLC";"GLE";"GLS";"EQB"}, RANDBETWEEN(1,8))</f>
        <v>GLA</v>
      </c>
      <c r="E401" s="4" t="str">
        <f t="shared" ca="1" si="55"/>
        <v>SUV</v>
      </c>
      <c r="F401" s="4">
        <f t="shared" ca="1" si="56"/>
        <v>2</v>
      </c>
      <c r="G401" s="8">
        <f t="shared" ca="1" si="57"/>
        <v>5066777</v>
      </c>
      <c r="H401" s="8">
        <f t="shared" ca="1" si="58"/>
        <v>10133554</v>
      </c>
      <c r="I401" s="8">
        <f t="shared" ca="1" si="59"/>
        <v>8208178.7400000002</v>
      </c>
      <c r="J401" s="8">
        <f t="shared" ca="1" si="60"/>
        <v>1925375.2599999998</v>
      </c>
      <c r="K401" s="6">
        <f t="shared" ca="1" si="61"/>
        <v>0.18999999999999997</v>
      </c>
      <c r="L401" s="4" t="str" cm="1">
        <f t="array" aca="1" ref="L40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01" s="8">
        <f t="shared" ca="1" si="62"/>
        <v>15099</v>
      </c>
      <c r="N401" s="4" t="str" cm="1">
        <f t="array" aca="1" ref="N401" ca="1">INDEX({"New";"Repeat"}, RANDBETWEEN(1,2))</f>
        <v>New</v>
      </c>
      <c r="O401" s="4" t="str" cm="1">
        <f t="array" aca="1" ref="O401" ca="1">INDEX({"Loan";"Cash";"Lease"}, RANDBETWEEN(1,3))</f>
        <v>Loan</v>
      </c>
    </row>
    <row r="402" spans="1:15" x14ac:dyDescent="0.2">
      <c r="A402" s="4">
        <v>400</v>
      </c>
      <c r="B402" s="5">
        <f t="shared" ca="1" si="54"/>
        <v>44960</v>
      </c>
      <c r="C402" s="4" t="str" cm="1">
        <f t="array" aca="1" ref="C402" ca="1">INDEX({"Cochin";"Delhi";"Mumbai";"Pune";"Bengaluru"}, RANDBETWEEN(1,5))</f>
        <v>Delhi</v>
      </c>
      <c r="D402" s="4" t="str" cm="1">
        <f t="array" aca="1" ref="D402" ca="1">INDEX({"C-Class";"E-Class";"S-Class";"GLA";"GLC";"GLE";"GLS";"EQB"}, RANDBETWEEN(1,8))</f>
        <v>GLC</v>
      </c>
      <c r="E402" s="4" t="str">
        <f t="shared" ca="1" si="55"/>
        <v>SUV</v>
      </c>
      <c r="F402" s="4">
        <f t="shared" ca="1" si="56"/>
        <v>3</v>
      </c>
      <c r="G402" s="8">
        <f t="shared" ca="1" si="57"/>
        <v>6563663</v>
      </c>
      <c r="H402" s="8">
        <f t="shared" ca="1" si="58"/>
        <v>19690989</v>
      </c>
      <c r="I402" s="8">
        <f t="shared" ca="1" si="59"/>
        <v>16146610.98</v>
      </c>
      <c r="J402" s="8">
        <f t="shared" ca="1" si="60"/>
        <v>3544378.0199999996</v>
      </c>
      <c r="K402" s="6">
        <f t="shared" ca="1" si="61"/>
        <v>0.17999999999999997</v>
      </c>
      <c r="L402" s="4" t="str" cm="1">
        <f t="array" aca="1" ref="L40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02" s="8">
        <f t="shared" ca="1" si="62"/>
        <v>20778</v>
      </c>
      <c r="N402" s="4" t="str" cm="1">
        <f t="array" aca="1" ref="N402" ca="1">INDEX({"New";"Repeat"}, RANDBETWEEN(1,2))</f>
        <v>New</v>
      </c>
      <c r="O402" s="4" t="str" cm="1">
        <f t="array" aca="1" ref="O402" ca="1">INDEX({"Loan";"Cash";"Lease"}, RANDBETWEEN(1,3))</f>
        <v>Cash</v>
      </c>
    </row>
    <row r="403" spans="1:15" x14ac:dyDescent="0.2">
      <c r="A403" s="4">
        <v>401</v>
      </c>
      <c r="B403" s="5">
        <f t="shared" ca="1" si="54"/>
        <v>45135</v>
      </c>
      <c r="C403" s="4" t="str" cm="1">
        <f t="array" aca="1" ref="C403" ca="1">INDEX({"Cochin";"Delhi";"Mumbai";"Pune";"Bengaluru"}, RANDBETWEEN(1,5))</f>
        <v>Bengaluru</v>
      </c>
      <c r="D403" s="4" t="str" cm="1">
        <f t="array" aca="1" ref="D403" ca="1">INDEX({"C-Class";"E-Class";"S-Class";"GLA";"GLC";"GLE";"GLS";"EQB"}, RANDBETWEEN(1,8))</f>
        <v>S-Class</v>
      </c>
      <c r="E403" s="4" t="str">
        <f t="shared" ca="1" si="55"/>
        <v>Sedan</v>
      </c>
      <c r="F403" s="4">
        <f t="shared" ca="1" si="56"/>
        <v>4</v>
      </c>
      <c r="G403" s="8">
        <f t="shared" ca="1" si="57"/>
        <v>15650943</v>
      </c>
      <c r="H403" s="8">
        <f t="shared" ca="1" si="58"/>
        <v>62603772</v>
      </c>
      <c r="I403" s="8">
        <f t="shared" ca="1" si="59"/>
        <v>50709055.32</v>
      </c>
      <c r="J403" s="8">
        <f t="shared" ca="1" si="60"/>
        <v>11894716.68</v>
      </c>
      <c r="K403" s="6">
        <f t="shared" ca="1" si="61"/>
        <v>0.19</v>
      </c>
      <c r="L403" s="4" t="str" cm="1">
        <f t="array" aca="1" ref="L40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03" s="8">
        <f t="shared" ca="1" si="62"/>
        <v>7007</v>
      </c>
      <c r="N403" s="4" t="str" cm="1">
        <f t="array" aca="1" ref="N403" ca="1">INDEX({"New";"Repeat"}, RANDBETWEEN(1,2))</f>
        <v>Repeat</v>
      </c>
      <c r="O403" s="4" t="str" cm="1">
        <f t="array" aca="1" ref="O403" ca="1">INDEX({"Loan";"Cash";"Lease"}, RANDBETWEEN(1,3))</f>
        <v>Cash</v>
      </c>
    </row>
    <row r="404" spans="1:15" x14ac:dyDescent="0.2">
      <c r="A404" s="4">
        <v>402</v>
      </c>
      <c r="B404" s="5">
        <f t="shared" ca="1" si="54"/>
        <v>45291</v>
      </c>
      <c r="C404" s="4" t="str" cm="1">
        <f t="array" aca="1" ref="C404" ca="1">INDEX({"Cochin";"Delhi";"Mumbai";"Pune";"Bengaluru"}, RANDBETWEEN(1,5))</f>
        <v>Mumbai</v>
      </c>
      <c r="D404" s="4" t="str" cm="1">
        <f t="array" aca="1" ref="D404" ca="1">INDEX({"C-Class";"E-Class";"S-Class";"GLA";"GLC";"GLE";"GLS";"EQB"}, RANDBETWEEN(1,8))</f>
        <v>C-Class</v>
      </c>
      <c r="E404" s="4" t="str">
        <f t="shared" ca="1" si="55"/>
        <v>Sedan</v>
      </c>
      <c r="F404" s="4">
        <f t="shared" ca="1" si="56"/>
        <v>4</v>
      </c>
      <c r="G404" s="8">
        <f t="shared" ca="1" si="57"/>
        <v>5795342</v>
      </c>
      <c r="H404" s="8">
        <f t="shared" ca="1" si="58"/>
        <v>23181368</v>
      </c>
      <c r="I404" s="8">
        <f t="shared" ca="1" si="59"/>
        <v>17617839.68</v>
      </c>
      <c r="J404" s="8">
        <f t="shared" ca="1" si="60"/>
        <v>5563528.3200000003</v>
      </c>
      <c r="K404" s="6">
        <f t="shared" ca="1" si="61"/>
        <v>0.24000000000000002</v>
      </c>
      <c r="L404" s="4" t="str" cm="1">
        <f t="array" aca="1" ref="L40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04" s="8">
        <f t="shared" ca="1" si="62"/>
        <v>11519</v>
      </c>
      <c r="N404" s="4" t="str" cm="1">
        <f t="array" aca="1" ref="N404" ca="1">INDEX({"New";"Repeat"}, RANDBETWEEN(1,2))</f>
        <v>New</v>
      </c>
      <c r="O404" s="4" t="str" cm="1">
        <f t="array" aca="1" ref="O404" ca="1">INDEX({"Loan";"Cash";"Lease"}, RANDBETWEEN(1,3))</f>
        <v>Cash</v>
      </c>
    </row>
    <row r="405" spans="1:15" x14ac:dyDescent="0.2">
      <c r="A405" s="4">
        <v>403</v>
      </c>
      <c r="B405" s="5">
        <f t="shared" ca="1" si="54"/>
        <v>45796</v>
      </c>
      <c r="C405" s="4" t="str" cm="1">
        <f t="array" aca="1" ref="C405" ca="1">INDEX({"Cochin";"Delhi";"Mumbai";"Pune";"Bengaluru"}, RANDBETWEEN(1,5))</f>
        <v>Mumbai</v>
      </c>
      <c r="D405" s="4" t="str" cm="1">
        <f t="array" aca="1" ref="D405" ca="1">INDEX({"C-Class";"E-Class";"S-Class";"GLA";"GLC";"GLE";"GLS";"EQB"}, RANDBETWEEN(1,8))</f>
        <v>GLA</v>
      </c>
      <c r="E405" s="4" t="str">
        <f t="shared" ca="1" si="55"/>
        <v>SUV</v>
      </c>
      <c r="F405" s="4">
        <f t="shared" ca="1" si="56"/>
        <v>3</v>
      </c>
      <c r="G405" s="8">
        <f t="shared" ca="1" si="57"/>
        <v>4551051</v>
      </c>
      <c r="H405" s="8">
        <f t="shared" ca="1" si="58"/>
        <v>13653153</v>
      </c>
      <c r="I405" s="8">
        <f t="shared" ca="1" si="59"/>
        <v>9693738.6300000008</v>
      </c>
      <c r="J405" s="8">
        <f t="shared" ca="1" si="60"/>
        <v>3959414.3699999992</v>
      </c>
      <c r="K405" s="6">
        <f t="shared" ca="1" si="61"/>
        <v>0.28999999999999992</v>
      </c>
      <c r="L405" s="4" t="str" cm="1">
        <f t="array" aca="1" ref="L40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405" s="8">
        <f t="shared" ca="1" si="62"/>
        <v>20572</v>
      </c>
      <c r="N405" s="4" t="str" cm="1">
        <f t="array" aca="1" ref="N405" ca="1">INDEX({"New";"Repeat"}, RANDBETWEEN(1,2))</f>
        <v>New</v>
      </c>
      <c r="O405" s="4" t="str" cm="1">
        <f t="array" aca="1" ref="O405" ca="1">INDEX({"Loan";"Cash";"Lease"}, RANDBETWEEN(1,3))</f>
        <v>Lease</v>
      </c>
    </row>
    <row r="406" spans="1:15" x14ac:dyDescent="0.2">
      <c r="A406" s="4">
        <v>404</v>
      </c>
      <c r="B406" s="5">
        <f t="shared" ca="1" si="54"/>
        <v>45703</v>
      </c>
      <c r="C406" s="4" t="str" cm="1">
        <f t="array" aca="1" ref="C406" ca="1">INDEX({"Cochin";"Delhi";"Mumbai";"Pune";"Bengaluru"}, RANDBETWEEN(1,5))</f>
        <v>Delhi</v>
      </c>
      <c r="D406" s="4" t="str" cm="1">
        <f t="array" aca="1" ref="D406" ca="1">INDEX({"C-Class";"E-Class";"S-Class";"GLA";"GLC";"GLE";"GLS";"EQB"}, RANDBETWEEN(1,8))</f>
        <v>S-Class</v>
      </c>
      <c r="E406" s="4" t="str">
        <f t="shared" ca="1" si="55"/>
        <v>Sedan</v>
      </c>
      <c r="F406" s="4">
        <f t="shared" ca="1" si="56"/>
        <v>1</v>
      </c>
      <c r="G406" s="8">
        <f t="shared" ca="1" si="57"/>
        <v>21783227</v>
      </c>
      <c r="H406" s="8">
        <f t="shared" ca="1" si="58"/>
        <v>21783227</v>
      </c>
      <c r="I406" s="8">
        <f t="shared" ca="1" si="59"/>
        <v>16337420.25</v>
      </c>
      <c r="J406" s="8">
        <f t="shared" ca="1" si="60"/>
        <v>5445806.75</v>
      </c>
      <c r="K406" s="6">
        <f t="shared" ca="1" si="61"/>
        <v>0.25</v>
      </c>
      <c r="L406" s="4" t="str" cm="1">
        <f t="array" aca="1" ref="L40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06" s="8">
        <f t="shared" ca="1" si="62"/>
        <v>15180</v>
      </c>
      <c r="N406" s="4" t="str" cm="1">
        <f t="array" aca="1" ref="N406" ca="1">INDEX({"New";"Repeat"}, RANDBETWEEN(1,2))</f>
        <v>New</v>
      </c>
      <c r="O406" s="4" t="str" cm="1">
        <f t="array" aca="1" ref="O406" ca="1">INDEX({"Loan";"Cash";"Lease"}, RANDBETWEEN(1,3))</f>
        <v>Cash</v>
      </c>
    </row>
    <row r="407" spans="1:15" x14ac:dyDescent="0.2">
      <c r="A407" s="4">
        <v>405</v>
      </c>
      <c r="B407" s="5">
        <f t="shared" ca="1" si="54"/>
        <v>45734</v>
      </c>
      <c r="C407" s="4" t="str" cm="1">
        <f t="array" aca="1" ref="C407" ca="1">INDEX({"Cochin";"Delhi";"Mumbai";"Pune";"Bengaluru"}, RANDBETWEEN(1,5))</f>
        <v>Bengaluru</v>
      </c>
      <c r="D407" s="4" t="str" cm="1">
        <f t="array" aca="1" ref="D407" ca="1">INDEX({"C-Class";"E-Class";"S-Class";"GLA";"GLC";"GLE";"GLS";"EQB"}, RANDBETWEEN(1,8))</f>
        <v>GLE</v>
      </c>
      <c r="E407" s="4" t="str">
        <f t="shared" ca="1" si="55"/>
        <v>SUV</v>
      </c>
      <c r="F407" s="4">
        <f t="shared" ca="1" si="56"/>
        <v>1</v>
      </c>
      <c r="G407" s="8">
        <f t="shared" ca="1" si="57"/>
        <v>11981676</v>
      </c>
      <c r="H407" s="8">
        <f t="shared" ca="1" si="58"/>
        <v>11981676</v>
      </c>
      <c r="I407" s="8">
        <f t="shared" ca="1" si="59"/>
        <v>9106073.7599999998</v>
      </c>
      <c r="J407" s="8">
        <f t="shared" ca="1" si="60"/>
        <v>2875602.24</v>
      </c>
      <c r="K407" s="6">
        <f t="shared" ca="1" si="61"/>
        <v>0.24000000000000002</v>
      </c>
      <c r="L407" s="4" t="str" cm="1">
        <f t="array" aca="1" ref="L407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07" s="8">
        <f t="shared" ca="1" si="62"/>
        <v>15114</v>
      </c>
      <c r="N407" s="4" t="str" cm="1">
        <f t="array" aca="1" ref="N407" ca="1">INDEX({"New";"Repeat"}, RANDBETWEEN(1,2))</f>
        <v>New</v>
      </c>
      <c r="O407" s="4" t="str" cm="1">
        <f t="array" aca="1" ref="O407" ca="1">INDEX({"Loan";"Cash";"Lease"}, RANDBETWEEN(1,3))</f>
        <v>Loan</v>
      </c>
    </row>
    <row r="408" spans="1:15" x14ac:dyDescent="0.2">
      <c r="A408" s="4">
        <v>406</v>
      </c>
      <c r="B408" s="5">
        <f t="shared" ca="1" si="54"/>
        <v>45895</v>
      </c>
      <c r="C408" s="4" t="str" cm="1">
        <f t="array" aca="1" ref="C408" ca="1">INDEX({"Cochin";"Delhi";"Mumbai";"Pune";"Bengaluru"}, RANDBETWEEN(1,5))</f>
        <v>Pune</v>
      </c>
      <c r="D408" s="4" t="str" cm="1">
        <f t="array" aca="1" ref="D408" ca="1">INDEX({"C-Class";"E-Class";"S-Class";"GLA";"GLC";"GLE";"GLS";"EQB"}, RANDBETWEEN(1,8))</f>
        <v>C-Class</v>
      </c>
      <c r="E408" s="4" t="str">
        <f t="shared" ca="1" si="55"/>
        <v>Sedan</v>
      </c>
      <c r="F408" s="4">
        <f t="shared" ca="1" si="56"/>
        <v>3</v>
      </c>
      <c r="G408" s="8">
        <f t="shared" ca="1" si="57"/>
        <v>6050180</v>
      </c>
      <c r="H408" s="8">
        <f t="shared" ca="1" si="58"/>
        <v>18150540</v>
      </c>
      <c r="I408" s="8">
        <f t="shared" ca="1" si="59"/>
        <v>13431399.6</v>
      </c>
      <c r="J408" s="8">
        <f t="shared" ca="1" si="60"/>
        <v>4719140.4000000004</v>
      </c>
      <c r="K408" s="6">
        <f t="shared" ca="1" si="61"/>
        <v>0.26</v>
      </c>
      <c r="L408" s="4" t="str" cm="1">
        <f t="array" aca="1" ref="L40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408" s="8">
        <f t="shared" ca="1" si="62"/>
        <v>17392</v>
      </c>
      <c r="N408" s="4" t="str" cm="1">
        <f t="array" aca="1" ref="N408" ca="1">INDEX({"New";"Repeat"}, RANDBETWEEN(1,2))</f>
        <v>New</v>
      </c>
      <c r="O408" s="4" t="str" cm="1">
        <f t="array" aca="1" ref="O408" ca="1">INDEX({"Loan";"Cash";"Lease"}, RANDBETWEEN(1,3))</f>
        <v>Loan</v>
      </c>
    </row>
    <row r="409" spans="1:15" x14ac:dyDescent="0.2">
      <c r="A409" s="4">
        <v>407</v>
      </c>
      <c r="B409" s="5">
        <f t="shared" ca="1" si="54"/>
        <v>45360</v>
      </c>
      <c r="C409" s="4" t="str" cm="1">
        <f t="array" aca="1" ref="C409" ca="1">INDEX({"Cochin";"Delhi";"Mumbai";"Pune";"Bengaluru"}, RANDBETWEEN(1,5))</f>
        <v>Delhi</v>
      </c>
      <c r="D409" s="4" t="str" cm="1">
        <f t="array" aca="1" ref="D409" ca="1">INDEX({"C-Class";"E-Class";"S-Class";"GLA";"GLC";"GLE";"GLS";"EQB"}, RANDBETWEEN(1,8))</f>
        <v>GLE</v>
      </c>
      <c r="E409" s="4" t="str">
        <f t="shared" ca="1" si="55"/>
        <v>SUV</v>
      </c>
      <c r="F409" s="4">
        <f t="shared" ca="1" si="56"/>
        <v>4</v>
      </c>
      <c r="G409" s="8">
        <f t="shared" ca="1" si="57"/>
        <v>12564944</v>
      </c>
      <c r="H409" s="8">
        <f t="shared" ca="1" si="58"/>
        <v>50259776</v>
      </c>
      <c r="I409" s="8">
        <f t="shared" ca="1" si="59"/>
        <v>42218211.840000004</v>
      </c>
      <c r="J409" s="8">
        <f t="shared" ca="1" si="60"/>
        <v>8041564.1599999964</v>
      </c>
      <c r="K409" s="6">
        <f t="shared" ca="1" si="61"/>
        <v>0.15999999999999992</v>
      </c>
      <c r="L409" s="4" t="str" cm="1">
        <f t="array" aca="1" ref="L40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09" s="8">
        <f t="shared" ca="1" si="62"/>
        <v>6004</v>
      </c>
      <c r="N409" s="4" t="str" cm="1">
        <f t="array" aca="1" ref="N409" ca="1">INDEX({"New";"Repeat"}, RANDBETWEEN(1,2))</f>
        <v>Repeat</v>
      </c>
      <c r="O409" s="4" t="str" cm="1">
        <f t="array" aca="1" ref="O409" ca="1">INDEX({"Loan";"Cash";"Lease"}, RANDBETWEEN(1,3))</f>
        <v>Loan</v>
      </c>
    </row>
    <row r="410" spans="1:15" x14ac:dyDescent="0.2">
      <c r="A410" s="4">
        <v>408</v>
      </c>
      <c r="B410" s="5">
        <f t="shared" ca="1" si="54"/>
        <v>45423</v>
      </c>
      <c r="C410" s="4" t="str" cm="1">
        <f t="array" aca="1" ref="C410" ca="1">INDEX({"Cochin";"Delhi";"Mumbai";"Pune";"Bengaluru"}, RANDBETWEEN(1,5))</f>
        <v>Mumbai</v>
      </c>
      <c r="D410" s="4" t="str" cm="1">
        <f t="array" aca="1" ref="D410" ca="1">INDEX({"C-Class";"E-Class";"S-Class";"GLA";"GLC";"GLE";"GLS";"EQB"}, RANDBETWEEN(1,8))</f>
        <v>S-Class</v>
      </c>
      <c r="E410" s="4" t="str">
        <f t="shared" ca="1" si="55"/>
        <v>Sedan</v>
      </c>
      <c r="F410" s="4">
        <f t="shared" ca="1" si="56"/>
        <v>3</v>
      </c>
      <c r="G410" s="8">
        <f t="shared" ca="1" si="57"/>
        <v>19938193</v>
      </c>
      <c r="H410" s="8">
        <f t="shared" ca="1" si="58"/>
        <v>59814579</v>
      </c>
      <c r="I410" s="8">
        <f t="shared" ca="1" si="59"/>
        <v>50244246.359999999</v>
      </c>
      <c r="J410" s="8">
        <f t="shared" ca="1" si="60"/>
        <v>9570332.6400000006</v>
      </c>
      <c r="K410" s="6">
        <f t="shared" ca="1" si="61"/>
        <v>0.16</v>
      </c>
      <c r="L410" s="4" t="str" cm="1">
        <f t="array" aca="1" ref="L41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10" s="8">
        <f t="shared" ca="1" si="62"/>
        <v>23413</v>
      </c>
      <c r="N410" s="4" t="str" cm="1">
        <f t="array" aca="1" ref="N410" ca="1">INDEX({"New";"Repeat"}, RANDBETWEEN(1,2))</f>
        <v>New</v>
      </c>
      <c r="O410" s="4" t="str" cm="1">
        <f t="array" aca="1" ref="O410" ca="1">INDEX({"Loan";"Cash";"Lease"}, RANDBETWEEN(1,3))</f>
        <v>Cash</v>
      </c>
    </row>
    <row r="411" spans="1:15" x14ac:dyDescent="0.2">
      <c r="A411" s="4">
        <v>409</v>
      </c>
      <c r="B411" s="5">
        <f t="shared" ca="1" si="54"/>
        <v>45660</v>
      </c>
      <c r="C411" s="4" t="str" cm="1">
        <f t="array" aca="1" ref="C411" ca="1">INDEX({"Cochin";"Delhi";"Mumbai";"Pune";"Bengaluru"}, RANDBETWEEN(1,5))</f>
        <v>Pune</v>
      </c>
      <c r="D411" s="4" t="str" cm="1">
        <f t="array" aca="1" ref="D411" ca="1">INDEX({"C-Class";"E-Class";"S-Class";"GLA";"GLC";"GLE";"GLS";"EQB"}, RANDBETWEEN(1,8))</f>
        <v>GLE</v>
      </c>
      <c r="E411" s="4" t="str">
        <f t="shared" ca="1" si="55"/>
        <v>SUV</v>
      </c>
      <c r="F411" s="4">
        <f t="shared" ca="1" si="56"/>
        <v>3</v>
      </c>
      <c r="G411" s="8">
        <f t="shared" ca="1" si="57"/>
        <v>12756288</v>
      </c>
      <c r="H411" s="8">
        <f t="shared" ca="1" si="58"/>
        <v>38268864</v>
      </c>
      <c r="I411" s="8">
        <f t="shared" ca="1" si="59"/>
        <v>32528534.399999999</v>
      </c>
      <c r="J411" s="8">
        <f t="shared" ca="1" si="60"/>
        <v>5740329.6000000015</v>
      </c>
      <c r="K411" s="6">
        <f t="shared" ca="1" si="61"/>
        <v>0.15000000000000005</v>
      </c>
      <c r="L411" s="4" t="str" cm="1">
        <f t="array" aca="1" ref="L411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11" s="8">
        <f t="shared" ca="1" si="62"/>
        <v>16572</v>
      </c>
      <c r="N411" s="4" t="str" cm="1">
        <f t="array" aca="1" ref="N411" ca="1">INDEX({"New";"Repeat"}, RANDBETWEEN(1,2))</f>
        <v>New</v>
      </c>
      <c r="O411" s="4" t="str" cm="1">
        <f t="array" aca="1" ref="O411" ca="1">INDEX({"Loan";"Cash";"Lease"}, RANDBETWEEN(1,3))</f>
        <v>Lease</v>
      </c>
    </row>
    <row r="412" spans="1:15" x14ac:dyDescent="0.2">
      <c r="A412" s="4">
        <v>410</v>
      </c>
      <c r="B412" s="5">
        <f t="shared" ca="1" si="54"/>
        <v>45473</v>
      </c>
      <c r="C412" s="4" t="str" cm="1">
        <f t="array" aca="1" ref="C412" ca="1">INDEX({"Cochin";"Delhi";"Mumbai";"Pune";"Bengaluru"}, RANDBETWEEN(1,5))</f>
        <v>Mumbai</v>
      </c>
      <c r="D412" s="4" t="str" cm="1">
        <f t="array" aca="1" ref="D412" ca="1">INDEX({"C-Class";"E-Class";"S-Class";"GLA";"GLC";"GLE";"GLS";"EQB"}, RANDBETWEEN(1,8))</f>
        <v>GLA</v>
      </c>
      <c r="E412" s="4" t="str">
        <f t="shared" ca="1" si="55"/>
        <v>SUV</v>
      </c>
      <c r="F412" s="4">
        <f t="shared" ca="1" si="56"/>
        <v>5</v>
      </c>
      <c r="G412" s="8">
        <f t="shared" ca="1" si="57"/>
        <v>4883563</v>
      </c>
      <c r="H412" s="8">
        <f t="shared" ca="1" si="58"/>
        <v>24417815</v>
      </c>
      <c r="I412" s="8">
        <f t="shared" ca="1" si="59"/>
        <v>17825004.949999999</v>
      </c>
      <c r="J412" s="8">
        <f t="shared" ca="1" si="60"/>
        <v>6592810.0500000007</v>
      </c>
      <c r="K412" s="6">
        <f t="shared" ca="1" si="61"/>
        <v>0.27</v>
      </c>
      <c r="L412" s="4" t="str" cm="1">
        <f t="array" aca="1" ref="L41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12" s="8">
        <f t="shared" ca="1" si="62"/>
        <v>7778</v>
      </c>
      <c r="N412" s="4" t="str" cm="1">
        <f t="array" aca="1" ref="N412" ca="1">INDEX({"New";"Repeat"}, RANDBETWEEN(1,2))</f>
        <v>Repeat</v>
      </c>
      <c r="O412" s="4" t="str" cm="1">
        <f t="array" aca="1" ref="O412" ca="1">INDEX({"Loan";"Cash";"Lease"}, RANDBETWEEN(1,3))</f>
        <v>Lease</v>
      </c>
    </row>
    <row r="413" spans="1:15" x14ac:dyDescent="0.2">
      <c r="A413" s="4">
        <v>411</v>
      </c>
      <c r="B413" s="5">
        <f t="shared" ca="1" si="54"/>
        <v>45557</v>
      </c>
      <c r="C413" s="4" t="str" cm="1">
        <f t="array" aca="1" ref="C413" ca="1">INDEX({"Cochin";"Delhi";"Mumbai";"Pune";"Bengaluru"}, RANDBETWEEN(1,5))</f>
        <v>Delhi</v>
      </c>
      <c r="D413" s="4" t="str" cm="1">
        <f t="array" aca="1" ref="D413" ca="1">INDEX({"C-Class";"E-Class";"S-Class";"GLA";"GLC";"GLE";"GLS";"EQB"}, RANDBETWEEN(1,8))</f>
        <v>E-Class</v>
      </c>
      <c r="E413" s="4" t="str">
        <f t="shared" ca="1" si="55"/>
        <v>Sedan</v>
      </c>
      <c r="F413" s="4">
        <f t="shared" ca="1" si="56"/>
        <v>4</v>
      </c>
      <c r="G413" s="8">
        <f t="shared" ca="1" si="57"/>
        <v>8740519</v>
      </c>
      <c r="H413" s="8">
        <f t="shared" ca="1" si="58"/>
        <v>34962076</v>
      </c>
      <c r="I413" s="8">
        <f t="shared" ca="1" si="59"/>
        <v>24823073.960000001</v>
      </c>
      <c r="J413" s="8">
        <f t="shared" ca="1" si="60"/>
        <v>10139002.039999999</v>
      </c>
      <c r="K413" s="6">
        <f t="shared" ca="1" si="61"/>
        <v>0.28999999999999998</v>
      </c>
      <c r="L413" s="4" t="str" cm="1">
        <f t="array" aca="1" ref="L41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13" s="8">
        <f t="shared" ca="1" si="62"/>
        <v>4863</v>
      </c>
      <c r="N413" s="4" t="str" cm="1">
        <f t="array" aca="1" ref="N413" ca="1">INDEX({"New";"Repeat"}, RANDBETWEEN(1,2))</f>
        <v>Repeat</v>
      </c>
      <c r="O413" s="4" t="str" cm="1">
        <f t="array" aca="1" ref="O413" ca="1">INDEX({"Loan";"Cash";"Lease"}, RANDBETWEEN(1,3))</f>
        <v>Loan</v>
      </c>
    </row>
    <row r="414" spans="1:15" x14ac:dyDescent="0.2">
      <c r="A414" s="4">
        <v>412</v>
      </c>
      <c r="B414" s="5">
        <f t="shared" ca="1" si="54"/>
        <v>45736</v>
      </c>
      <c r="C414" s="4" t="str" cm="1">
        <f t="array" aca="1" ref="C414" ca="1">INDEX({"Cochin";"Delhi";"Mumbai";"Pune";"Bengaluru"}, RANDBETWEEN(1,5))</f>
        <v>Bengaluru</v>
      </c>
      <c r="D414" s="4" t="str" cm="1">
        <f t="array" aca="1" ref="D414" ca="1">INDEX({"C-Class";"E-Class";"S-Class";"GLA";"GLC";"GLE";"GLS";"EQB"}, RANDBETWEEN(1,8))</f>
        <v>GLC</v>
      </c>
      <c r="E414" s="4" t="str">
        <f t="shared" ca="1" si="55"/>
        <v>SUV</v>
      </c>
      <c r="F414" s="4">
        <f t="shared" ca="1" si="56"/>
        <v>4</v>
      </c>
      <c r="G414" s="8">
        <f t="shared" ca="1" si="57"/>
        <v>6641186</v>
      </c>
      <c r="H414" s="8">
        <f t="shared" ca="1" si="58"/>
        <v>26564744</v>
      </c>
      <c r="I414" s="8">
        <f t="shared" ca="1" si="59"/>
        <v>19126615.68</v>
      </c>
      <c r="J414" s="8">
        <f t="shared" ca="1" si="60"/>
        <v>7438128.3200000003</v>
      </c>
      <c r="K414" s="6">
        <f t="shared" ca="1" si="61"/>
        <v>0.28000000000000003</v>
      </c>
      <c r="L414" s="4" t="str" cm="1">
        <f t="array" aca="1" ref="L41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14" s="8">
        <f t="shared" ca="1" si="62"/>
        <v>7183</v>
      </c>
      <c r="N414" s="4" t="str" cm="1">
        <f t="array" aca="1" ref="N414" ca="1">INDEX({"New";"Repeat"}, RANDBETWEEN(1,2))</f>
        <v>Repeat</v>
      </c>
      <c r="O414" s="4" t="str" cm="1">
        <f t="array" aca="1" ref="O414" ca="1">INDEX({"Loan";"Cash";"Lease"}, RANDBETWEEN(1,3))</f>
        <v>Loan</v>
      </c>
    </row>
    <row r="415" spans="1:15" x14ac:dyDescent="0.2">
      <c r="A415" s="4">
        <v>413</v>
      </c>
      <c r="B415" s="5">
        <f t="shared" ca="1" si="54"/>
        <v>44999</v>
      </c>
      <c r="C415" s="4" t="str" cm="1">
        <f t="array" aca="1" ref="C415" ca="1">INDEX({"Cochin";"Delhi";"Mumbai";"Pune";"Bengaluru"}, RANDBETWEEN(1,5))</f>
        <v>Delhi</v>
      </c>
      <c r="D415" s="4" t="str" cm="1">
        <f t="array" aca="1" ref="D415" ca="1">INDEX({"C-Class";"E-Class";"S-Class";"GLA";"GLC";"GLE";"GLS";"EQB"}, RANDBETWEEN(1,8))</f>
        <v>GLE</v>
      </c>
      <c r="E415" s="4" t="str">
        <f t="shared" ca="1" si="55"/>
        <v>SUV</v>
      </c>
      <c r="F415" s="4">
        <f t="shared" ca="1" si="56"/>
        <v>4</v>
      </c>
      <c r="G415" s="8">
        <f t="shared" ca="1" si="57"/>
        <v>10881348</v>
      </c>
      <c r="H415" s="8">
        <f t="shared" ca="1" si="58"/>
        <v>43525392</v>
      </c>
      <c r="I415" s="8">
        <f t="shared" ca="1" si="59"/>
        <v>30903028.32</v>
      </c>
      <c r="J415" s="8">
        <f t="shared" ca="1" si="60"/>
        <v>12622363.68</v>
      </c>
      <c r="K415" s="6">
        <f t="shared" ca="1" si="61"/>
        <v>0.28999999999999998</v>
      </c>
      <c r="L415" s="4" t="str" cm="1">
        <f t="array" aca="1" ref="L41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15" s="8">
        <f t="shared" ca="1" si="62"/>
        <v>11980</v>
      </c>
      <c r="N415" s="4" t="str" cm="1">
        <f t="array" aca="1" ref="N415" ca="1">INDEX({"New";"Repeat"}, RANDBETWEEN(1,2))</f>
        <v>New</v>
      </c>
      <c r="O415" s="4" t="str" cm="1">
        <f t="array" aca="1" ref="O415" ca="1">INDEX({"Loan";"Cash";"Lease"}, RANDBETWEEN(1,3))</f>
        <v>Cash</v>
      </c>
    </row>
    <row r="416" spans="1:15" x14ac:dyDescent="0.2">
      <c r="A416" s="4">
        <v>414</v>
      </c>
      <c r="B416" s="5">
        <f t="shared" ca="1" si="54"/>
        <v>45428</v>
      </c>
      <c r="C416" s="4" t="str" cm="1">
        <f t="array" aca="1" ref="C416" ca="1">INDEX({"Cochin";"Delhi";"Mumbai";"Pune";"Bengaluru"}, RANDBETWEEN(1,5))</f>
        <v>Delhi</v>
      </c>
      <c r="D416" s="4" t="str" cm="1">
        <f t="array" aca="1" ref="D416" ca="1">INDEX({"C-Class";"E-Class";"S-Class";"GLA";"GLC";"GLE";"GLS";"EQB"}, RANDBETWEEN(1,8))</f>
        <v>GLA</v>
      </c>
      <c r="E416" s="4" t="str">
        <f t="shared" ca="1" si="55"/>
        <v>SUV</v>
      </c>
      <c r="F416" s="4">
        <f t="shared" ca="1" si="56"/>
        <v>5</v>
      </c>
      <c r="G416" s="8">
        <f t="shared" ca="1" si="57"/>
        <v>4805665</v>
      </c>
      <c r="H416" s="8">
        <f t="shared" ca="1" si="58"/>
        <v>24028325</v>
      </c>
      <c r="I416" s="8">
        <f t="shared" ca="1" si="59"/>
        <v>16819827.5</v>
      </c>
      <c r="J416" s="8">
        <f t="shared" ca="1" si="60"/>
        <v>7208497.5</v>
      </c>
      <c r="K416" s="6">
        <f t="shared" ca="1" si="61"/>
        <v>0.3</v>
      </c>
      <c r="L416" s="4" t="str" cm="1">
        <f t="array" aca="1" ref="L41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16" s="8">
        <f t="shared" ca="1" si="62"/>
        <v>6227</v>
      </c>
      <c r="N416" s="4" t="str" cm="1">
        <f t="array" aca="1" ref="N416" ca="1">INDEX({"New";"Repeat"}, RANDBETWEEN(1,2))</f>
        <v>Repeat</v>
      </c>
      <c r="O416" s="4" t="str" cm="1">
        <f t="array" aca="1" ref="O416" ca="1">INDEX({"Loan";"Cash";"Lease"}, RANDBETWEEN(1,3))</f>
        <v>Loan</v>
      </c>
    </row>
    <row r="417" spans="1:15" x14ac:dyDescent="0.2">
      <c r="A417" s="4">
        <v>415</v>
      </c>
      <c r="B417" s="5">
        <f t="shared" ca="1" si="54"/>
        <v>45734</v>
      </c>
      <c r="C417" s="4" t="str" cm="1">
        <f t="array" aca="1" ref="C417" ca="1">INDEX({"Cochin";"Delhi";"Mumbai";"Pune";"Bengaluru"}, RANDBETWEEN(1,5))</f>
        <v>Mumbai</v>
      </c>
      <c r="D417" s="4" t="str" cm="1">
        <f t="array" aca="1" ref="D417" ca="1">INDEX({"C-Class";"E-Class";"S-Class";"GLA";"GLC";"GLE";"GLS";"EQB"}, RANDBETWEEN(1,8))</f>
        <v>GLC</v>
      </c>
      <c r="E417" s="4" t="str">
        <f t="shared" ca="1" si="55"/>
        <v>SUV</v>
      </c>
      <c r="F417" s="4">
        <f t="shared" ca="1" si="56"/>
        <v>1</v>
      </c>
      <c r="G417" s="8">
        <f t="shared" ca="1" si="57"/>
        <v>7474579</v>
      </c>
      <c r="H417" s="8">
        <f t="shared" ca="1" si="58"/>
        <v>7474579</v>
      </c>
      <c r="I417" s="8">
        <f t="shared" ca="1" si="59"/>
        <v>5531188.46</v>
      </c>
      <c r="J417" s="8">
        <f t="shared" ca="1" si="60"/>
        <v>1943390.54</v>
      </c>
      <c r="K417" s="6">
        <f t="shared" ca="1" si="61"/>
        <v>0.26</v>
      </c>
      <c r="L417" s="4" t="str" cm="1">
        <f t="array" aca="1" ref="L41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17" s="8">
        <f t="shared" ca="1" si="62"/>
        <v>14828</v>
      </c>
      <c r="N417" s="4" t="str" cm="1">
        <f t="array" aca="1" ref="N417" ca="1">INDEX({"New";"Repeat"}, RANDBETWEEN(1,2))</f>
        <v>New</v>
      </c>
      <c r="O417" s="4" t="str" cm="1">
        <f t="array" aca="1" ref="O417" ca="1">INDEX({"Loan";"Cash";"Lease"}, RANDBETWEEN(1,3))</f>
        <v>Cash</v>
      </c>
    </row>
    <row r="418" spans="1:15" x14ac:dyDescent="0.2">
      <c r="A418" s="4">
        <v>416</v>
      </c>
      <c r="B418" s="5">
        <f t="shared" ca="1" si="54"/>
        <v>45108</v>
      </c>
      <c r="C418" s="4" t="str" cm="1">
        <f t="array" aca="1" ref="C418" ca="1">INDEX({"Cochin";"Delhi";"Mumbai";"Pune";"Bengaluru"}, RANDBETWEEN(1,5))</f>
        <v>Cochin</v>
      </c>
      <c r="D418" s="4" t="str" cm="1">
        <f t="array" aca="1" ref="D418" ca="1">INDEX({"C-Class";"E-Class";"S-Class";"GLA";"GLC";"GLE";"GLS";"EQB"}, RANDBETWEEN(1,8))</f>
        <v>EQB</v>
      </c>
      <c r="E418" s="4" t="str">
        <f t="shared" ca="1" si="55"/>
        <v>EV</v>
      </c>
      <c r="F418" s="4">
        <f t="shared" ca="1" si="56"/>
        <v>2</v>
      </c>
      <c r="G418" s="8">
        <f t="shared" ca="1" si="57"/>
        <v>7095708</v>
      </c>
      <c r="H418" s="8">
        <f t="shared" ca="1" si="58"/>
        <v>14191416</v>
      </c>
      <c r="I418" s="8">
        <f t="shared" ca="1" si="59"/>
        <v>10075905.359999999</v>
      </c>
      <c r="J418" s="8">
        <f t="shared" ca="1" si="60"/>
        <v>4115510.6400000006</v>
      </c>
      <c r="K418" s="6">
        <f t="shared" ca="1" si="61"/>
        <v>0.29000000000000004</v>
      </c>
      <c r="L418" s="4" t="str" cm="1">
        <f t="array" aca="1" ref="L418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18" s="8">
        <f t="shared" ca="1" si="62"/>
        <v>13193</v>
      </c>
      <c r="N418" s="4" t="str" cm="1">
        <f t="array" aca="1" ref="N418" ca="1">INDEX({"New";"Repeat"}, RANDBETWEEN(1,2))</f>
        <v>New</v>
      </c>
      <c r="O418" s="4" t="str" cm="1">
        <f t="array" aca="1" ref="O418" ca="1">INDEX({"Loan";"Cash";"Lease"}, RANDBETWEEN(1,3))</f>
        <v>Cash</v>
      </c>
    </row>
    <row r="419" spans="1:15" x14ac:dyDescent="0.2">
      <c r="A419" s="4">
        <v>417</v>
      </c>
      <c r="B419" s="5">
        <f t="shared" ca="1" si="54"/>
        <v>45792</v>
      </c>
      <c r="C419" s="4" t="str" cm="1">
        <f t="array" aca="1" ref="C419" ca="1">INDEX({"Cochin";"Delhi";"Mumbai";"Pune";"Bengaluru"}, RANDBETWEEN(1,5))</f>
        <v>Bengaluru</v>
      </c>
      <c r="D419" s="4" t="str" cm="1">
        <f t="array" aca="1" ref="D419" ca="1">INDEX({"C-Class";"E-Class";"S-Class";"GLA";"GLC";"GLE";"GLS";"EQB"}, RANDBETWEEN(1,8))</f>
        <v>S-Class</v>
      </c>
      <c r="E419" s="4" t="str">
        <f t="shared" ca="1" si="55"/>
        <v>Sedan</v>
      </c>
      <c r="F419" s="4">
        <f t="shared" ca="1" si="56"/>
        <v>3</v>
      </c>
      <c r="G419" s="8">
        <f t="shared" ca="1" si="57"/>
        <v>21251146</v>
      </c>
      <c r="H419" s="8">
        <f t="shared" ca="1" si="58"/>
        <v>63753438</v>
      </c>
      <c r="I419" s="8">
        <f t="shared" ca="1" si="59"/>
        <v>51640284.780000001</v>
      </c>
      <c r="J419" s="8">
        <f t="shared" ca="1" si="60"/>
        <v>12113153.219999999</v>
      </c>
      <c r="K419" s="6">
        <f t="shared" ca="1" si="61"/>
        <v>0.18999999999999997</v>
      </c>
      <c r="L419" s="4" t="str" cm="1">
        <f t="array" aca="1" ref="L41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19" s="8">
        <f t="shared" ca="1" si="62"/>
        <v>17915</v>
      </c>
      <c r="N419" s="4" t="str" cm="1">
        <f t="array" aca="1" ref="N419" ca="1">INDEX({"New";"Repeat"}, RANDBETWEEN(1,2))</f>
        <v>New</v>
      </c>
      <c r="O419" s="4" t="str" cm="1">
        <f t="array" aca="1" ref="O419" ca="1">INDEX({"Loan";"Cash";"Lease"}, RANDBETWEEN(1,3))</f>
        <v>Cash</v>
      </c>
    </row>
    <row r="420" spans="1:15" x14ac:dyDescent="0.2">
      <c r="A420" s="4">
        <v>418</v>
      </c>
      <c r="B420" s="5">
        <f t="shared" ca="1" si="54"/>
        <v>45253</v>
      </c>
      <c r="C420" s="4" t="str" cm="1">
        <f t="array" aca="1" ref="C420" ca="1">INDEX({"Cochin";"Delhi";"Mumbai";"Pune";"Bengaluru"}, RANDBETWEEN(1,5))</f>
        <v>Bengaluru</v>
      </c>
      <c r="D420" s="4" t="str" cm="1">
        <f t="array" aca="1" ref="D420" ca="1">INDEX({"C-Class";"E-Class";"S-Class";"GLA";"GLC";"GLE";"GLS";"EQB"}, RANDBETWEEN(1,8))</f>
        <v>GLC</v>
      </c>
      <c r="E420" s="4" t="str">
        <f t="shared" ca="1" si="55"/>
        <v>SUV</v>
      </c>
      <c r="F420" s="4">
        <f t="shared" ca="1" si="56"/>
        <v>5</v>
      </c>
      <c r="G420" s="8">
        <f t="shared" ca="1" si="57"/>
        <v>6796122</v>
      </c>
      <c r="H420" s="8">
        <f t="shared" ca="1" si="58"/>
        <v>33980610</v>
      </c>
      <c r="I420" s="8">
        <f t="shared" ca="1" si="59"/>
        <v>28883518.5</v>
      </c>
      <c r="J420" s="8">
        <f t="shared" ca="1" si="60"/>
        <v>5097091.5</v>
      </c>
      <c r="K420" s="6">
        <f t="shared" ca="1" si="61"/>
        <v>0.15</v>
      </c>
      <c r="L420" s="4" t="str" cm="1">
        <f t="array" aca="1" ref="L42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20" s="8">
        <f t="shared" ca="1" si="62"/>
        <v>3125</v>
      </c>
      <c r="N420" s="4" t="str" cm="1">
        <f t="array" aca="1" ref="N420" ca="1">INDEX({"New";"Repeat"}, RANDBETWEEN(1,2))</f>
        <v>Repeat</v>
      </c>
      <c r="O420" s="4" t="str" cm="1">
        <f t="array" aca="1" ref="O420" ca="1">INDEX({"Loan";"Cash";"Lease"}, RANDBETWEEN(1,3))</f>
        <v>Loan</v>
      </c>
    </row>
    <row r="421" spans="1:15" x14ac:dyDescent="0.2">
      <c r="A421" s="4">
        <v>419</v>
      </c>
      <c r="B421" s="5">
        <f t="shared" ca="1" si="54"/>
        <v>45602</v>
      </c>
      <c r="C421" s="4" t="str" cm="1">
        <f t="array" aca="1" ref="C421" ca="1">INDEX({"Cochin";"Delhi";"Mumbai";"Pune";"Bengaluru"}, RANDBETWEEN(1,5))</f>
        <v>Delhi</v>
      </c>
      <c r="D421" s="4" t="str" cm="1">
        <f t="array" aca="1" ref="D421" ca="1">INDEX({"C-Class";"E-Class";"S-Class";"GLA";"GLC";"GLE";"GLS";"EQB"}, RANDBETWEEN(1,8))</f>
        <v>GLS</v>
      </c>
      <c r="E421" s="4" t="str">
        <f t="shared" ca="1" si="55"/>
        <v>SUV</v>
      </c>
      <c r="F421" s="4">
        <f t="shared" ca="1" si="56"/>
        <v>3</v>
      </c>
      <c r="G421" s="8">
        <f t="shared" ca="1" si="57"/>
        <v>17738130</v>
      </c>
      <c r="H421" s="8">
        <f t="shared" ca="1" si="58"/>
        <v>53214390</v>
      </c>
      <c r="I421" s="8">
        <f t="shared" ca="1" si="59"/>
        <v>44167943.700000003</v>
      </c>
      <c r="J421" s="8">
        <f t="shared" ca="1" si="60"/>
        <v>9046446.299999997</v>
      </c>
      <c r="K421" s="6">
        <f t="shared" ca="1" si="61"/>
        <v>0.16999999999999996</v>
      </c>
      <c r="L421" s="4" t="str" cm="1">
        <f t="array" aca="1" ref="L42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21" s="8">
        <f t="shared" ca="1" si="62"/>
        <v>7897</v>
      </c>
      <c r="N421" s="4" t="str" cm="1">
        <f t="array" aca="1" ref="N421" ca="1">INDEX({"New";"Repeat"}, RANDBETWEEN(1,2))</f>
        <v>Repeat</v>
      </c>
      <c r="O421" s="4" t="str" cm="1">
        <f t="array" aca="1" ref="O421" ca="1">INDEX({"Loan";"Cash";"Lease"}, RANDBETWEEN(1,3))</f>
        <v>Lease</v>
      </c>
    </row>
    <row r="422" spans="1:15" x14ac:dyDescent="0.2">
      <c r="A422" s="4">
        <v>420</v>
      </c>
      <c r="B422" s="5">
        <f t="shared" ca="1" si="54"/>
        <v>45291</v>
      </c>
      <c r="C422" s="4" t="str" cm="1">
        <f t="array" aca="1" ref="C422" ca="1">INDEX({"Cochin";"Delhi";"Mumbai";"Pune";"Bengaluru"}, RANDBETWEEN(1,5))</f>
        <v>Mumbai</v>
      </c>
      <c r="D422" s="4" t="str" cm="1">
        <f t="array" aca="1" ref="D422" ca="1">INDEX({"C-Class";"E-Class";"S-Class";"GLA";"GLC";"GLE";"GLS";"EQB"}, RANDBETWEEN(1,8))</f>
        <v>GLE</v>
      </c>
      <c r="E422" s="4" t="str">
        <f t="shared" ca="1" si="55"/>
        <v>SUV</v>
      </c>
      <c r="F422" s="4">
        <f t="shared" ca="1" si="56"/>
        <v>2</v>
      </c>
      <c r="G422" s="8">
        <f t="shared" ca="1" si="57"/>
        <v>9610699</v>
      </c>
      <c r="H422" s="8">
        <f t="shared" ca="1" si="58"/>
        <v>19221398</v>
      </c>
      <c r="I422" s="8">
        <f t="shared" ca="1" si="59"/>
        <v>13647192.58</v>
      </c>
      <c r="J422" s="8">
        <f t="shared" ca="1" si="60"/>
        <v>5574205.4199999999</v>
      </c>
      <c r="K422" s="6">
        <f t="shared" ca="1" si="61"/>
        <v>0.28999999999999998</v>
      </c>
      <c r="L422" s="4" t="str" cm="1">
        <f t="array" aca="1" ref="L42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22" s="8">
        <f t="shared" ca="1" si="62"/>
        <v>5449</v>
      </c>
      <c r="N422" s="4" t="str" cm="1">
        <f t="array" aca="1" ref="N422" ca="1">INDEX({"New";"Repeat"}, RANDBETWEEN(1,2))</f>
        <v>Repeat</v>
      </c>
      <c r="O422" s="4" t="str" cm="1">
        <f t="array" aca="1" ref="O422" ca="1">INDEX({"Loan";"Cash";"Lease"}, RANDBETWEEN(1,3))</f>
        <v>Lease</v>
      </c>
    </row>
    <row r="423" spans="1:15" x14ac:dyDescent="0.2">
      <c r="A423" s="4">
        <v>421</v>
      </c>
      <c r="B423" s="5">
        <f t="shared" ca="1" si="54"/>
        <v>45635</v>
      </c>
      <c r="C423" s="4" t="str" cm="1">
        <f t="array" aca="1" ref="C423" ca="1">INDEX({"Cochin";"Delhi";"Mumbai";"Pune";"Bengaluru"}, RANDBETWEEN(1,5))</f>
        <v>Bengaluru</v>
      </c>
      <c r="D423" s="4" t="str" cm="1">
        <f t="array" aca="1" ref="D423" ca="1">INDEX({"C-Class";"E-Class";"S-Class";"GLA";"GLC";"GLE";"GLS";"EQB"}, RANDBETWEEN(1,8))</f>
        <v>GLC</v>
      </c>
      <c r="E423" s="4" t="str">
        <f t="shared" ca="1" si="55"/>
        <v>SUV</v>
      </c>
      <c r="F423" s="4">
        <f t="shared" ca="1" si="56"/>
        <v>4</v>
      </c>
      <c r="G423" s="8">
        <f t="shared" ca="1" si="57"/>
        <v>7149874</v>
      </c>
      <c r="H423" s="8">
        <f t="shared" ca="1" si="58"/>
        <v>28599496</v>
      </c>
      <c r="I423" s="8">
        <f t="shared" ca="1" si="59"/>
        <v>22307606.879999999</v>
      </c>
      <c r="J423" s="8">
        <f t="shared" ca="1" si="60"/>
        <v>6291889.120000001</v>
      </c>
      <c r="K423" s="6">
        <f t="shared" ca="1" si="61"/>
        <v>0.22000000000000003</v>
      </c>
      <c r="L423" s="4" t="str" cm="1">
        <f t="array" aca="1" ref="L42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23" s="8">
        <f t="shared" ca="1" si="62"/>
        <v>17573</v>
      </c>
      <c r="N423" s="4" t="str" cm="1">
        <f t="array" aca="1" ref="N423" ca="1">INDEX({"New";"Repeat"}, RANDBETWEEN(1,2))</f>
        <v>New</v>
      </c>
      <c r="O423" s="4" t="str" cm="1">
        <f t="array" aca="1" ref="O423" ca="1">INDEX({"Loan";"Cash";"Lease"}, RANDBETWEEN(1,3))</f>
        <v>Loan</v>
      </c>
    </row>
    <row r="424" spans="1:15" x14ac:dyDescent="0.2">
      <c r="A424" s="4">
        <v>422</v>
      </c>
      <c r="B424" s="5">
        <f t="shared" ca="1" si="54"/>
        <v>45482</v>
      </c>
      <c r="C424" s="4" t="str" cm="1">
        <f t="array" aca="1" ref="C424" ca="1">INDEX({"Cochin";"Delhi";"Mumbai";"Pune";"Bengaluru"}, RANDBETWEEN(1,5))</f>
        <v>Delhi</v>
      </c>
      <c r="D424" s="4" t="str" cm="1">
        <f t="array" aca="1" ref="D424" ca="1">INDEX({"C-Class";"E-Class";"S-Class";"GLA";"GLC";"GLE";"GLS";"EQB"}, RANDBETWEEN(1,8))</f>
        <v>EQB</v>
      </c>
      <c r="E424" s="4" t="str">
        <f t="shared" ca="1" si="55"/>
        <v>EV</v>
      </c>
      <c r="F424" s="4">
        <f t="shared" ca="1" si="56"/>
        <v>3</v>
      </c>
      <c r="G424" s="8">
        <f t="shared" ca="1" si="57"/>
        <v>7813624</v>
      </c>
      <c r="H424" s="8">
        <f t="shared" ca="1" si="58"/>
        <v>23440872</v>
      </c>
      <c r="I424" s="8">
        <f t="shared" ca="1" si="59"/>
        <v>18518288.879999999</v>
      </c>
      <c r="J424" s="8">
        <f t="shared" ca="1" si="60"/>
        <v>4922583.120000001</v>
      </c>
      <c r="K424" s="6">
        <f t="shared" ca="1" si="61"/>
        <v>0.21000000000000005</v>
      </c>
      <c r="L424" s="4" t="str" cm="1">
        <f t="array" aca="1" ref="L42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424" s="8">
        <f t="shared" ca="1" si="62"/>
        <v>15871</v>
      </c>
      <c r="N424" s="4" t="str" cm="1">
        <f t="array" aca="1" ref="N424" ca="1">INDEX({"New";"Repeat"}, RANDBETWEEN(1,2))</f>
        <v>New</v>
      </c>
      <c r="O424" s="4" t="str" cm="1">
        <f t="array" aca="1" ref="O424" ca="1">INDEX({"Loan";"Cash";"Lease"}, RANDBETWEEN(1,3))</f>
        <v>Cash</v>
      </c>
    </row>
    <row r="425" spans="1:15" x14ac:dyDescent="0.2">
      <c r="A425" s="4">
        <v>423</v>
      </c>
      <c r="B425" s="5">
        <f t="shared" ca="1" si="54"/>
        <v>45547</v>
      </c>
      <c r="C425" s="4" t="str" cm="1">
        <f t="array" aca="1" ref="C425" ca="1">INDEX({"Cochin";"Delhi";"Mumbai";"Pune";"Bengaluru"}, RANDBETWEEN(1,5))</f>
        <v>Pune</v>
      </c>
      <c r="D425" s="4" t="str" cm="1">
        <f t="array" aca="1" ref="D425" ca="1">INDEX({"C-Class";"E-Class";"S-Class";"GLA";"GLC";"GLE";"GLS";"EQB"}, RANDBETWEEN(1,8))</f>
        <v>C-Class</v>
      </c>
      <c r="E425" s="4" t="str">
        <f t="shared" ca="1" si="55"/>
        <v>Sedan</v>
      </c>
      <c r="F425" s="4">
        <f t="shared" ca="1" si="56"/>
        <v>4</v>
      </c>
      <c r="G425" s="8">
        <f t="shared" ca="1" si="57"/>
        <v>6199487</v>
      </c>
      <c r="H425" s="8">
        <f t="shared" ca="1" si="58"/>
        <v>24797948</v>
      </c>
      <c r="I425" s="8">
        <f t="shared" ca="1" si="59"/>
        <v>18598461</v>
      </c>
      <c r="J425" s="8">
        <f t="shared" ca="1" si="60"/>
        <v>6199487</v>
      </c>
      <c r="K425" s="6">
        <f t="shared" ca="1" si="61"/>
        <v>0.25</v>
      </c>
      <c r="L425" s="4" t="str" cm="1">
        <f t="array" aca="1" ref="L42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425" s="8">
        <f t="shared" ca="1" si="62"/>
        <v>18406</v>
      </c>
      <c r="N425" s="4" t="str" cm="1">
        <f t="array" aca="1" ref="N425" ca="1">INDEX({"New";"Repeat"}, RANDBETWEEN(1,2))</f>
        <v>New</v>
      </c>
      <c r="O425" s="4" t="str" cm="1">
        <f t="array" aca="1" ref="O425" ca="1">INDEX({"Loan";"Cash";"Lease"}, RANDBETWEEN(1,3))</f>
        <v>Cash</v>
      </c>
    </row>
    <row r="426" spans="1:15" x14ac:dyDescent="0.2">
      <c r="A426" s="4">
        <v>424</v>
      </c>
      <c r="B426" s="5">
        <f t="shared" ca="1" si="54"/>
        <v>44957</v>
      </c>
      <c r="C426" s="4" t="str" cm="1">
        <f t="array" aca="1" ref="C426" ca="1">INDEX({"Cochin";"Delhi";"Mumbai";"Pune";"Bengaluru"}, RANDBETWEEN(1,5))</f>
        <v>Pune</v>
      </c>
      <c r="D426" s="4" t="str" cm="1">
        <f t="array" aca="1" ref="D426" ca="1">INDEX({"C-Class";"E-Class";"S-Class";"GLA";"GLC";"GLE";"GLS";"EQB"}, RANDBETWEEN(1,8))</f>
        <v>GLC</v>
      </c>
      <c r="E426" s="4" t="str">
        <f t="shared" ca="1" si="55"/>
        <v>SUV</v>
      </c>
      <c r="F426" s="4">
        <f t="shared" ca="1" si="56"/>
        <v>4</v>
      </c>
      <c r="G426" s="8">
        <f t="shared" ca="1" si="57"/>
        <v>7129577</v>
      </c>
      <c r="H426" s="8">
        <f t="shared" ca="1" si="58"/>
        <v>28518308</v>
      </c>
      <c r="I426" s="8">
        <f t="shared" ca="1" si="59"/>
        <v>21103547.920000002</v>
      </c>
      <c r="J426" s="8">
        <f t="shared" ca="1" si="60"/>
        <v>7414760.0799999982</v>
      </c>
      <c r="K426" s="6">
        <f t="shared" ca="1" si="61"/>
        <v>0.25999999999999995</v>
      </c>
      <c r="L426" s="4" t="str" cm="1">
        <f t="array" aca="1" ref="L42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26" s="8">
        <f t="shared" ca="1" si="62"/>
        <v>24548</v>
      </c>
      <c r="N426" s="4" t="str" cm="1">
        <f t="array" aca="1" ref="N426" ca="1">INDEX({"New";"Repeat"}, RANDBETWEEN(1,2))</f>
        <v>New</v>
      </c>
      <c r="O426" s="4" t="str" cm="1">
        <f t="array" aca="1" ref="O426" ca="1">INDEX({"Loan";"Cash";"Lease"}, RANDBETWEEN(1,3))</f>
        <v>Loan</v>
      </c>
    </row>
    <row r="427" spans="1:15" x14ac:dyDescent="0.2">
      <c r="A427" s="4">
        <v>425</v>
      </c>
      <c r="B427" s="5">
        <f t="shared" ca="1" si="54"/>
        <v>45658</v>
      </c>
      <c r="C427" s="4" t="str" cm="1">
        <f t="array" aca="1" ref="C427" ca="1">INDEX({"Cochin";"Delhi";"Mumbai";"Pune";"Bengaluru"}, RANDBETWEEN(1,5))</f>
        <v>Mumbai</v>
      </c>
      <c r="D427" s="4" t="str" cm="1">
        <f t="array" aca="1" ref="D427" ca="1">INDEX({"C-Class";"E-Class";"S-Class";"GLA";"GLC";"GLE";"GLS";"EQB"}, RANDBETWEEN(1,8))</f>
        <v>GLE</v>
      </c>
      <c r="E427" s="4" t="str">
        <f t="shared" ca="1" si="55"/>
        <v>SUV</v>
      </c>
      <c r="F427" s="4">
        <f t="shared" ca="1" si="56"/>
        <v>4</v>
      </c>
      <c r="G427" s="8">
        <f t="shared" ca="1" si="57"/>
        <v>11858798</v>
      </c>
      <c r="H427" s="8">
        <f t="shared" ca="1" si="58"/>
        <v>47435192</v>
      </c>
      <c r="I427" s="8">
        <f t="shared" ca="1" si="59"/>
        <v>38422505.520000003</v>
      </c>
      <c r="J427" s="8">
        <f t="shared" ca="1" si="60"/>
        <v>9012686.4799999967</v>
      </c>
      <c r="K427" s="6">
        <f t="shared" ca="1" si="61"/>
        <v>0.18999999999999992</v>
      </c>
      <c r="L427" s="4" t="str" cm="1">
        <f t="array" aca="1" ref="L42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27" s="8">
        <f t="shared" ca="1" si="62"/>
        <v>10083</v>
      </c>
      <c r="N427" s="4" t="str" cm="1">
        <f t="array" aca="1" ref="N427" ca="1">INDEX({"New";"Repeat"}, RANDBETWEEN(1,2))</f>
        <v>New</v>
      </c>
      <c r="O427" s="4" t="str" cm="1">
        <f t="array" aca="1" ref="O427" ca="1">INDEX({"Loan";"Cash";"Lease"}, RANDBETWEEN(1,3))</f>
        <v>Cash</v>
      </c>
    </row>
    <row r="428" spans="1:15" x14ac:dyDescent="0.2">
      <c r="A428" s="4">
        <v>426</v>
      </c>
      <c r="B428" s="5">
        <f t="shared" ca="1" si="54"/>
        <v>45116</v>
      </c>
      <c r="C428" s="4" t="str" cm="1">
        <f t="array" aca="1" ref="C428" ca="1">INDEX({"Cochin";"Delhi";"Mumbai";"Pune";"Bengaluru"}, RANDBETWEEN(1,5))</f>
        <v>Pune</v>
      </c>
      <c r="D428" s="4" t="str" cm="1">
        <f t="array" aca="1" ref="D428" ca="1">INDEX({"C-Class";"E-Class";"S-Class";"GLA";"GLC";"GLE";"GLS";"EQB"}, RANDBETWEEN(1,8))</f>
        <v>E-Class</v>
      </c>
      <c r="E428" s="4" t="str">
        <f t="shared" ca="1" si="55"/>
        <v>Sedan</v>
      </c>
      <c r="F428" s="4">
        <f t="shared" ca="1" si="56"/>
        <v>5</v>
      </c>
      <c r="G428" s="8">
        <f t="shared" ca="1" si="57"/>
        <v>8609974</v>
      </c>
      <c r="H428" s="8">
        <f t="shared" ca="1" si="58"/>
        <v>43049870</v>
      </c>
      <c r="I428" s="8">
        <f t="shared" ca="1" si="59"/>
        <v>30995906.399999999</v>
      </c>
      <c r="J428" s="8">
        <f t="shared" ca="1" si="60"/>
        <v>12053963.600000001</v>
      </c>
      <c r="K428" s="6">
        <f t="shared" ca="1" si="61"/>
        <v>0.28000000000000003</v>
      </c>
      <c r="L428" s="4" t="str" cm="1">
        <f t="array" aca="1" ref="L428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28" s="8">
        <f t="shared" ca="1" si="62"/>
        <v>6336</v>
      </c>
      <c r="N428" s="4" t="str" cm="1">
        <f t="array" aca="1" ref="N428" ca="1">INDEX({"New";"Repeat"}, RANDBETWEEN(1,2))</f>
        <v>Repeat</v>
      </c>
      <c r="O428" s="4" t="str" cm="1">
        <f t="array" aca="1" ref="O428" ca="1">INDEX({"Loan";"Cash";"Lease"}, RANDBETWEEN(1,3))</f>
        <v>Lease</v>
      </c>
    </row>
    <row r="429" spans="1:15" x14ac:dyDescent="0.2">
      <c r="A429" s="4">
        <v>427</v>
      </c>
      <c r="B429" s="5">
        <f t="shared" ca="1" si="54"/>
        <v>45289</v>
      </c>
      <c r="C429" s="4" t="str" cm="1">
        <f t="array" aca="1" ref="C429" ca="1">INDEX({"Cochin";"Delhi";"Mumbai";"Pune";"Bengaluru"}, RANDBETWEEN(1,5))</f>
        <v>Mumbai</v>
      </c>
      <c r="D429" s="4" t="str" cm="1">
        <f t="array" aca="1" ref="D429" ca="1">INDEX({"C-Class";"E-Class";"S-Class";"GLA";"GLC";"GLE";"GLS";"EQB"}, RANDBETWEEN(1,8))</f>
        <v>S-Class</v>
      </c>
      <c r="E429" s="4" t="str">
        <f t="shared" ca="1" si="55"/>
        <v>Sedan</v>
      </c>
      <c r="F429" s="4">
        <f t="shared" ca="1" si="56"/>
        <v>1</v>
      </c>
      <c r="G429" s="8">
        <f t="shared" ca="1" si="57"/>
        <v>18258585</v>
      </c>
      <c r="H429" s="8">
        <f t="shared" ca="1" si="58"/>
        <v>18258585</v>
      </c>
      <c r="I429" s="8">
        <f t="shared" ca="1" si="59"/>
        <v>13511352.9</v>
      </c>
      <c r="J429" s="8">
        <f t="shared" ca="1" si="60"/>
        <v>4747232.0999999996</v>
      </c>
      <c r="K429" s="6">
        <f t="shared" ca="1" si="61"/>
        <v>0.25999999999999995</v>
      </c>
      <c r="L429" s="4" t="str" cm="1">
        <f t="array" aca="1" ref="L42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29" s="8">
        <f t="shared" ca="1" si="62"/>
        <v>5510</v>
      </c>
      <c r="N429" s="4" t="str" cm="1">
        <f t="array" aca="1" ref="N429" ca="1">INDEX({"New";"Repeat"}, RANDBETWEEN(1,2))</f>
        <v>Repeat</v>
      </c>
      <c r="O429" s="4" t="str" cm="1">
        <f t="array" aca="1" ref="O429" ca="1">INDEX({"Loan";"Cash";"Lease"}, RANDBETWEEN(1,3))</f>
        <v>Lease</v>
      </c>
    </row>
    <row r="430" spans="1:15" x14ac:dyDescent="0.2">
      <c r="A430" s="4">
        <v>428</v>
      </c>
      <c r="B430" s="5">
        <f t="shared" ca="1" si="54"/>
        <v>45755</v>
      </c>
      <c r="C430" s="4" t="str" cm="1">
        <f t="array" aca="1" ref="C430" ca="1">INDEX({"Cochin";"Delhi";"Mumbai";"Pune";"Bengaluru"}, RANDBETWEEN(1,5))</f>
        <v>Delhi</v>
      </c>
      <c r="D430" s="4" t="str" cm="1">
        <f t="array" aca="1" ref="D430" ca="1">INDEX({"C-Class";"E-Class";"S-Class";"GLA";"GLC";"GLE";"GLS";"EQB"}, RANDBETWEEN(1,8))</f>
        <v>S-Class</v>
      </c>
      <c r="E430" s="4" t="str">
        <f t="shared" ca="1" si="55"/>
        <v>Sedan</v>
      </c>
      <c r="F430" s="4">
        <f t="shared" ca="1" si="56"/>
        <v>4</v>
      </c>
      <c r="G430" s="8">
        <f t="shared" ca="1" si="57"/>
        <v>16138384</v>
      </c>
      <c r="H430" s="8">
        <f t="shared" ca="1" si="58"/>
        <v>64553536</v>
      </c>
      <c r="I430" s="8">
        <f t="shared" ca="1" si="59"/>
        <v>49060687.359999999</v>
      </c>
      <c r="J430" s="8">
        <f t="shared" ca="1" si="60"/>
        <v>15492848.640000001</v>
      </c>
      <c r="K430" s="6">
        <f t="shared" ca="1" si="61"/>
        <v>0.24000000000000002</v>
      </c>
      <c r="L430" s="4" t="str" cm="1">
        <f t="array" aca="1" ref="L43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30" s="8">
        <f t="shared" ca="1" si="62"/>
        <v>6953</v>
      </c>
      <c r="N430" s="4" t="str" cm="1">
        <f t="array" aca="1" ref="N430" ca="1">INDEX({"New";"Repeat"}, RANDBETWEEN(1,2))</f>
        <v>Repeat</v>
      </c>
      <c r="O430" s="4" t="str" cm="1">
        <f t="array" aca="1" ref="O430" ca="1">INDEX({"Loan";"Cash";"Lease"}, RANDBETWEEN(1,3))</f>
        <v>Cash</v>
      </c>
    </row>
    <row r="431" spans="1:15" x14ac:dyDescent="0.2">
      <c r="A431" s="4">
        <v>429</v>
      </c>
      <c r="B431" s="5">
        <f t="shared" ca="1" si="54"/>
        <v>45677</v>
      </c>
      <c r="C431" s="4" t="str" cm="1">
        <f t="array" aca="1" ref="C431" ca="1">INDEX({"Cochin";"Delhi";"Mumbai";"Pune";"Bengaluru"}, RANDBETWEEN(1,5))</f>
        <v>Mumbai</v>
      </c>
      <c r="D431" s="4" t="str" cm="1">
        <f t="array" aca="1" ref="D431" ca="1">INDEX({"C-Class";"E-Class";"S-Class";"GLA";"GLC";"GLE";"GLS";"EQB"}, RANDBETWEEN(1,8))</f>
        <v>GLC</v>
      </c>
      <c r="E431" s="4" t="str">
        <f t="shared" ca="1" si="55"/>
        <v>SUV</v>
      </c>
      <c r="F431" s="4">
        <f t="shared" ca="1" si="56"/>
        <v>3</v>
      </c>
      <c r="G431" s="8">
        <f t="shared" ca="1" si="57"/>
        <v>7445905</v>
      </c>
      <c r="H431" s="8">
        <f t="shared" ca="1" si="58"/>
        <v>22337715</v>
      </c>
      <c r="I431" s="8">
        <f t="shared" ca="1" si="59"/>
        <v>18540303.449999999</v>
      </c>
      <c r="J431" s="8">
        <f t="shared" ca="1" si="60"/>
        <v>3797411.5500000007</v>
      </c>
      <c r="K431" s="6">
        <f t="shared" ca="1" si="61"/>
        <v>0.17000000000000004</v>
      </c>
      <c r="L431" s="4" t="str" cm="1">
        <f t="array" aca="1" ref="L43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31" s="8">
        <f t="shared" ca="1" si="62"/>
        <v>4689</v>
      </c>
      <c r="N431" s="4" t="str" cm="1">
        <f t="array" aca="1" ref="N431" ca="1">INDEX({"New";"Repeat"}, RANDBETWEEN(1,2))</f>
        <v>Repeat</v>
      </c>
      <c r="O431" s="4" t="str" cm="1">
        <f t="array" aca="1" ref="O431" ca="1">INDEX({"Loan";"Cash";"Lease"}, RANDBETWEEN(1,3))</f>
        <v>Loan</v>
      </c>
    </row>
    <row r="432" spans="1:15" x14ac:dyDescent="0.2">
      <c r="A432" s="4">
        <v>430</v>
      </c>
      <c r="B432" s="5">
        <f t="shared" ca="1" si="54"/>
        <v>45185</v>
      </c>
      <c r="C432" s="4" t="str" cm="1">
        <f t="array" aca="1" ref="C432" ca="1">INDEX({"Cochin";"Delhi";"Mumbai";"Pune";"Bengaluru"}, RANDBETWEEN(1,5))</f>
        <v>Cochin</v>
      </c>
      <c r="D432" s="4" t="str" cm="1">
        <f t="array" aca="1" ref="D432" ca="1">INDEX({"C-Class";"E-Class";"S-Class";"GLA";"GLC";"GLE";"GLS";"EQB"}, RANDBETWEEN(1,8))</f>
        <v>EQB</v>
      </c>
      <c r="E432" s="4" t="str">
        <f t="shared" ca="1" si="55"/>
        <v>EV</v>
      </c>
      <c r="F432" s="4">
        <f t="shared" ca="1" si="56"/>
        <v>3</v>
      </c>
      <c r="G432" s="8">
        <f t="shared" ca="1" si="57"/>
        <v>7855624</v>
      </c>
      <c r="H432" s="8">
        <f t="shared" ca="1" si="58"/>
        <v>23566872</v>
      </c>
      <c r="I432" s="8">
        <f t="shared" ca="1" si="59"/>
        <v>19796172.48</v>
      </c>
      <c r="J432" s="8">
        <f t="shared" ca="1" si="60"/>
        <v>3770699.5199999996</v>
      </c>
      <c r="K432" s="6">
        <f t="shared" ca="1" si="61"/>
        <v>0.15999999999999998</v>
      </c>
      <c r="L432" s="4" t="str" cm="1">
        <f t="array" aca="1" ref="L43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32" s="8">
        <f t="shared" ca="1" si="62"/>
        <v>3155</v>
      </c>
      <c r="N432" s="4" t="str" cm="1">
        <f t="array" aca="1" ref="N432" ca="1">INDEX({"New";"Repeat"}, RANDBETWEEN(1,2))</f>
        <v>Repeat</v>
      </c>
      <c r="O432" s="4" t="str" cm="1">
        <f t="array" aca="1" ref="O432" ca="1">INDEX({"Loan";"Cash";"Lease"}, RANDBETWEEN(1,3))</f>
        <v>Cash</v>
      </c>
    </row>
    <row r="433" spans="1:15" x14ac:dyDescent="0.2">
      <c r="A433" s="4">
        <v>431</v>
      </c>
      <c r="B433" s="5">
        <f t="shared" ca="1" si="54"/>
        <v>45539</v>
      </c>
      <c r="C433" s="4" t="str" cm="1">
        <f t="array" aca="1" ref="C433" ca="1">INDEX({"Cochin";"Delhi";"Mumbai";"Pune";"Bengaluru"}, RANDBETWEEN(1,5))</f>
        <v>Cochin</v>
      </c>
      <c r="D433" s="4" t="str" cm="1">
        <f t="array" aca="1" ref="D433" ca="1">INDEX({"C-Class";"E-Class";"S-Class";"GLA";"GLC";"GLE";"GLS";"EQB"}, RANDBETWEEN(1,8))</f>
        <v>S-Class</v>
      </c>
      <c r="E433" s="4" t="str">
        <f t="shared" ca="1" si="55"/>
        <v>Sedan</v>
      </c>
      <c r="F433" s="4">
        <f t="shared" ca="1" si="56"/>
        <v>3</v>
      </c>
      <c r="G433" s="8">
        <f t="shared" ca="1" si="57"/>
        <v>19973715</v>
      </c>
      <c r="H433" s="8">
        <f t="shared" ca="1" si="58"/>
        <v>59921145</v>
      </c>
      <c r="I433" s="8">
        <f t="shared" ca="1" si="59"/>
        <v>42544012.950000003</v>
      </c>
      <c r="J433" s="8">
        <f t="shared" ca="1" si="60"/>
        <v>17377132.049999997</v>
      </c>
      <c r="K433" s="6">
        <f t="shared" ca="1" si="61"/>
        <v>0.28999999999999992</v>
      </c>
      <c r="L433" s="4" t="str" cm="1">
        <f t="array" aca="1" ref="L433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33" s="8">
        <f t="shared" ca="1" si="62"/>
        <v>4337</v>
      </c>
      <c r="N433" s="4" t="str" cm="1">
        <f t="array" aca="1" ref="N433" ca="1">INDEX({"New";"Repeat"}, RANDBETWEEN(1,2))</f>
        <v>Repeat</v>
      </c>
      <c r="O433" s="4" t="str" cm="1">
        <f t="array" aca="1" ref="O433" ca="1">INDEX({"Loan";"Cash";"Lease"}, RANDBETWEEN(1,3))</f>
        <v>Cash</v>
      </c>
    </row>
    <row r="434" spans="1:15" x14ac:dyDescent="0.2">
      <c r="A434" s="4">
        <v>432</v>
      </c>
      <c r="B434" s="5">
        <f t="shared" ca="1" si="54"/>
        <v>45191</v>
      </c>
      <c r="C434" s="4" t="str" cm="1">
        <f t="array" aca="1" ref="C434" ca="1">INDEX({"Cochin";"Delhi";"Mumbai";"Pune";"Bengaluru"}, RANDBETWEEN(1,5))</f>
        <v>Pune</v>
      </c>
      <c r="D434" s="4" t="str" cm="1">
        <f t="array" aca="1" ref="D434" ca="1">INDEX({"C-Class";"E-Class";"S-Class";"GLA";"GLC";"GLE";"GLS";"EQB"}, RANDBETWEEN(1,8))</f>
        <v>GLA</v>
      </c>
      <c r="E434" s="4" t="str">
        <f t="shared" ca="1" si="55"/>
        <v>SUV</v>
      </c>
      <c r="F434" s="4">
        <f t="shared" ca="1" si="56"/>
        <v>5</v>
      </c>
      <c r="G434" s="8">
        <f t="shared" ca="1" si="57"/>
        <v>5431672</v>
      </c>
      <c r="H434" s="8">
        <f t="shared" ca="1" si="58"/>
        <v>27158360</v>
      </c>
      <c r="I434" s="8">
        <f t="shared" ca="1" si="59"/>
        <v>19825602.800000001</v>
      </c>
      <c r="J434" s="8">
        <f t="shared" ca="1" si="60"/>
        <v>7332757.1999999993</v>
      </c>
      <c r="K434" s="6">
        <f t="shared" ca="1" si="61"/>
        <v>0.26999999999999996</v>
      </c>
      <c r="L434" s="4" t="str" cm="1">
        <f t="array" aca="1" ref="L43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34" s="8">
        <f t="shared" ca="1" si="62"/>
        <v>24888</v>
      </c>
      <c r="N434" s="4" t="str" cm="1">
        <f t="array" aca="1" ref="N434" ca="1">INDEX({"New";"Repeat"}, RANDBETWEEN(1,2))</f>
        <v>New</v>
      </c>
      <c r="O434" s="4" t="str" cm="1">
        <f t="array" aca="1" ref="O434" ca="1">INDEX({"Loan";"Cash";"Lease"}, RANDBETWEEN(1,3))</f>
        <v>Lease</v>
      </c>
    </row>
    <row r="435" spans="1:15" x14ac:dyDescent="0.2">
      <c r="A435" s="4">
        <v>433</v>
      </c>
      <c r="B435" s="5">
        <f t="shared" ca="1" si="54"/>
        <v>45703</v>
      </c>
      <c r="C435" s="4" t="str" cm="1">
        <f t="array" aca="1" ref="C435" ca="1">INDEX({"Cochin";"Delhi";"Mumbai";"Pune";"Bengaluru"}, RANDBETWEEN(1,5))</f>
        <v>Delhi</v>
      </c>
      <c r="D435" s="4" t="str" cm="1">
        <f t="array" aca="1" ref="D435" ca="1">INDEX({"C-Class";"E-Class";"S-Class";"GLA";"GLC";"GLE";"GLS";"EQB"}, RANDBETWEEN(1,8))</f>
        <v>GLS</v>
      </c>
      <c r="E435" s="4" t="str">
        <f t="shared" ca="1" si="55"/>
        <v>SUV</v>
      </c>
      <c r="F435" s="4">
        <f t="shared" ca="1" si="56"/>
        <v>1</v>
      </c>
      <c r="G435" s="8">
        <f t="shared" ca="1" si="57"/>
        <v>13014407</v>
      </c>
      <c r="H435" s="8">
        <f t="shared" ca="1" si="58"/>
        <v>13014407</v>
      </c>
      <c r="I435" s="8">
        <f t="shared" ca="1" si="59"/>
        <v>10541669.67</v>
      </c>
      <c r="J435" s="8">
        <f t="shared" ca="1" si="60"/>
        <v>2472737.33</v>
      </c>
      <c r="K435" s="6">
        <f t="shared" ca="1" si="61"/>
        <v>0.19</v>
      </c>
      <c r="L435" s="4" t="str" cm="1">
        <f t="array" aca="1" ref="L43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435" s="8">
        <f t="shared" ca="1" si="62"/>
        <v>5836</v>
      </c>
      <c r="N435" s="4" t="str" cm="1">
        <f t="array" aca="1" ref="N435" ca="1">INDEX({"New";"Repeat"}, RANDBETWEEN(1,2))</f>
        <v>Repeat</v>
      </c>
      <c r="O435" s="4" t="str" cm="1">
        <f t="array" aca="1" ref="O435" ca="1">INDEX({"Loan";"Cash";"Lease"}, RANDBETWEEN(1,3))</f>
        <v>Loan</v>
      </c>
    </row>
    <row r="436" spans="1:15" x14ac:dyDescent="0.2">
      <c r="A436" s="4">
        <v>434</v>
      </c>
      <c r="B436" s="5">
        <f t="shared" ca="1" si="54"/>
        <v>45728</v>
      </c>
      <c r="C436" s="4" t="str" cm="1">
        <f t="array" aca="1" ref="C436" ca="1">INDEX({"Cochin";"Delhi";"Mumbai";"Pune";"Bengaluru"}, RANDBETWEEN(1,5))</f>
        <v>Cochin</v>
      </c>
      <c r="D436" s="4" t="str" cm="1">
        <f t="array" aca="1" ref="D436" ca="1">INDEX({"C-Class";"E-Class";"S-Class";"GLA";"GLC";"GLE";"GLS";"EQB"}, RANDBETWEEN(1,8))</f>
        <v>GLA</v>
      </c>
      <c r="E436" s="4" t="str">
        <f t="shared" ca="1" si="55"/>
        <v>SUV</v>
      </c>
      <c r="F436" s="4">
        <f t="shared" ca="1" si="56"/>
        <v>1</v>
      </c>
      <c r="G436" s="8">
        <f t="shared" ca="1" si="57"/>
        <v>4597148</v>
      </c>
      <c r="H436" s="8">
        <f t="shared" ca="1" si="58"/>
        <v>4597148</v>
      </c>
      <c r="I436" s="8">
        <f t="shared" ca="1" si="59"/>
        <v>3218003.6</v>
      </c>
      <c r="J436" s="8">
        <f t="shared" ca="1" si="60"/>
        <v>1379144.4</v>
      </c>
      <c r="K436" s="6">
        <f t="shared" ca="1" si="61"/>
        <v>0.3</v>
      </c>
      <c r="L436" s="4" t="str" cm="1">
        <f t="array" aca="1" ref="L436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36" s="8">
        <f t="shared" ca="1" si="62"/>
        <v>3041</v>
      </c>
      <c r="N436" s="4" t="str" cm="1">
        <f t="array" aca="1" ref="N436" ca="1">INDEX({"New";"Repeat"}, RANDBETWEEN(1,2))</f>
        <v>Repeat</v>
      </c>
      <c r="O436" s="4" t="str" cm="1">
        <f t="array" aca="1" ref="O436" ca="1">INDEX({"Loan";"Cash";"Lease"}, RANDBETWEEN(1,3))</f>
        <v>Cash</v>
      </c>
    </row>
    <row r="437" spans="1:15" x14ac:dyDescent="0.2">
      <c r="A437" s="4">
        <v>435</v>
      </c>
      <c r="B437" s="5">
        <f t="shared" ca="1" si="54"/>
        <v>45504</v>
      </c>
      <c r="C437" s="4" t="str" cm="1">
        <f t="array" aca="1" ref="C437" ca="1">INDEX({"Cochin";"Delhi";"Mumbai";"Pune";"Bengaluru"}, RANDBETWEEN(1,5))</f>
        <v>Delhi</v>
      </c>
      <c r="D437" s="4" t="str" cm="1">
        <f t="array" aca="1" ref="D437" ca="1">INDEX({"C-Class";"E-Class";"S-Class";"GLA";"GLC";"GLE";"GLS";"EQB"}, RANDBETWEEN(1,8))</f>
        <v>S-Class</v>
      </c>
      <c r="E437" s="4" t="str">
        <f t="shared" ca="1" si="55"/>
        <v>Sedan</v>
      </c>
      <c r="F437" s="4">
        <f t="shared" ca="1" si="56"/>
        <v>3</v>
      </c>
      <c r="G437" s="8">
        <f t="shared" ca="1" si="57"/>
        <v>22772698</v>
      </c>
      <c r="H437" s="8">
        <f t="shared" ca="1" si="58"/>
        <v>68318094</v>
      </c>
      <c r="I437" s="8">
        <f t="shared" ca="1" si="59"/>
        <v>57387198.960000001</v>
      </c>
      <c r="J437" s="8">
        <f t="shared" ca="1" si="60"/>
        <v>10930895.039999999</v>
      </c>
      <c r="K437" s="6">
        <f t="shared" ca="1" si="61"/>
        <v>0.15999999999999998</v>
      </c>
      <c r="L437" s="4" t="str" cm="1">
        <f t="array" aca="1" ref="L43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37" s="8">
        <f t="shared" ca="1" si="62"/>
        <v>5562</v>
      </c>
      <c r="N437" s="4" t="str" cm="1">
        <f t="array" aca="1" ref="N437" ca="1">INDEX({"New";"Repeat"}, RANDBETWEEN(1,2))</f>
        <v>Repeat</v>
      </c>
      <c r="O437" s="4" t="str" cm="1">
        <f t="array" aca="1" ref="O437" ca="1">INDEX({"Loan";"Cash";"Lease"}, RANDBETWEEN(1,3))</f>
        <v>Loan</v>
      </c>
    </row>
    <row r="438" spans="1:15" x14ac:dyDescent="0.2">
      <c r="A438" s="4">
        <v>436</v>
      </c>
      <c r="B438" s="5">
        <f t="shared" ca="1" si="54"/>
        <v>45444</v>
      </c>
      <c r="C438" s="4" t="str" cm="1">
        <f t="array" aca="1" ref="C438" ca="1">INDEX({"Cochin";"Delhi";"Mumbai";"Pune";"Bengaluru"}, RANDBETWEEN(1,5))</f>
        <v>Mumbai</v>
      </c>
      <c r="D438" s="4" t="str" cm="1">
        <f t="array" aca="1" ref="D438" ca="1">INDEX({"C-Class";"E-Class";"S-Class";"GLA";"GLC";"GLE";"GLS";"EQB"}, RANDBETWEEN(1,8))</f>
        <v>GLA</v>
      </c>
      <c r="E438" s="4" t="str">
        <f t="shared" ca="1" si="55"/>
        <v>SUV</v>
      </c>
      <c r="F438" s="4">
        <f t="shared" ca="1" si="56"/>
        <v>2</v>
      </c>
      <c r="G438" s="8">
        <f t="shared" ca="1" si="57"/>
        <v>5204869</v>
      </c>
      <c r="H438" s="8">
        <f t="shared" ca="1" si="58"/>
        <v>10409738</v>
      </c>
      <c r="I438" s="8">
        <f t="shared" ca="1" si="59"/>
        <v>8119595.6399999997</v>
      </c>
      <c r="J438" s="8">
        <f t="shared" ca="1" si="60"/>
        <v>2290142.3600000003</v>
      </c>
      <c r="K438" s="6">
        <f t="shared" ca="1" si="61"/>
        <v>0.22000000000000003</v>
      </c>
      <c r="L438" s="4" t="str" cm="1">
        <f t="array" aca="1" ref="L438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38" s="8">
        <f t="shared" ca="1" si="62"/>
        <v>6876</v>
      </c>
      <c r="N438" s="4" t="str" cm="1">
        <f t="array" aca="1" ref="N438" ca="1">INDEX({"New";"Repeat"}, RANDBETWEEN(1,2))</f>
        <v>Repeat</v>
      </c>
      <c r="O438" s="4" t="str" cm="1">
        <f t="array" aca="1" ref="O438" ca="1">INDEX({"Loan";"Cash";"Lease"}, RANDBETWEEN(1,3))</f>
        <v>Lease</v>
      </c>
    </row>
    <row r="439" spans="1:15" x14ac:dyDescent="0.2">
      <c r="A439" s="4">
        <v>437</v>
      </c>
      <c r="B439" s="5">
        <f t="shared" ca="1" si="54"/>
        <v>45519</v>
      </c>
      <c r="C439" s="4" t="str" cm="1">
        <f t="array" aca="1" ref="C439" ca="1">INDEX({"Cochin";"Delhi";"Mumbai";"Pune";"Bengaluru"}, RANDBETWEEN(1,5))</f>
        <v>Mumbai</v>
      </c>
      <c r="D439" s="4" t="str" cm="1">
        <f t="array" aca="1" ref="D439" ca="1">INDEX({"C-Class";"E-Class";"S-Class";"GLA";"GLC";"GLE";"GLS";"EQB"}, RANDBETWEEN(1,8))</f>
        <v>EQB</v>
      </c>
      <c r="E439" s="4" t="str">
        <f t="shared" ca="1" si="55"/>
        <v>EV</v>
      </c>
      <c r="F439" s="4">
        <f t="shared" ca="1" si="56"/>
        <v>3</v>
      </c>
      <c r="G439" s="8">
        <f t="shared" ca="1" si="57"/>
        <v>7726158</v>
      </c>
      <c r="H439" s="8">
        <f t="shared" ca="1" si="58"/>
        <v>23178474</v>
      </c>
      <c r="I439" s="8">
        <f t="shared" ca="1" si="59"/>
        <v>16920286.02</v>
      </c>
      <c r="J439" s="8">
        <f t="shared" ca="1" si="60"/>
        <v>6258187.9800000004</v>
      </c>
      <c r="K439" s="6">
        <f t="shared" ca="1" si="61"/>
        <v>0.27</v>
      </c>
      <c r="L439" s="4" t="str" cm="1">
        <f t="array" aca="1" ref="L43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39" s="8">
        <f t="shared" ca="1" si="62"/>
        <v>15360</v>
      </c>
      <c r="N439" s="4" t="str" cm="1">
        <f t="array" aca="1" ref="N439" ca="1">INDEX({"New";"Repeat"}, RANDBETWEEN(1,2))</f>
        <v>New</v>
      </c>
      <c r="O439" s="4" t="str" cm="1">
        <f t="array" aca="1" ref="O439" ca="1">INDEX({"Loan";"Cash";"Lease"}, RANDBETWEEN(1,3))</f>
        <v>Cash</v>
      </c>
    </row>
    <row r="440" spans="1:15" x14ac:dyDescent="0.2">
      <c r="A440" s="4">
        <v>438</v>
      </c>
      <c r="B440" s="5">
        <f t="shared" ca="1" si="54"/>
        <v>45509</v>
      </c>
      <c r="C440" s="4" t="str" cm="1">
        <f t="array" aca="1" ref="C440" ca="1">INDEX({"Cochin";"Delhi";"Mumbai";"Pune";"Bengaluru"}, RANDBETWEEN(1,5))</f>
        <v>Mumbai</v>
      </c>
      <c r="D440" s="4" t="str" cm="1">
        <f t="array" aca="1" ref="D440" ca="1">INDEX({"C-Class";"E-Class";"S-Class";"GLA";"GLC";"GLE";"GLS";"EQB"}, RANDBETWEEN(1,8))</f>
        <v>GLS</v>
      </c>
      <c r="E440" s="4" t="str">
        <f t="shared" ca="1" si="55"/>
        <v>SUV</v>
      </c>
      <c r="F440" s="4">
        <f t="shared" ca="1" si="56"/>
        <v>1</v>
      </c>
      <c r="G440" s="8">
        <f t="shared" ca="1" si="57"/>
        <v>13955570</v>
      </c>
      <c r="H440" s="8">
        <f t="shared" ca="1" si="58"/>
        <v>13955570</v>
      </c>
      <c r="I440" s="8">
        <f t="shared" ca="1" si="59"/>
        <v>11722678.800000001</v>
      </c>
      <c r="J440" s="8">
        <f t="shared" ca="1" si="60"/>
        <v>2232891.1999999993</v>
      </c>
      <c r="K440" s="6">
        <f t="shared" ca="1" si="61"/>
        <v>0.15999999999999995</v>
      </c>
      <c r="L440" s="4" t="str" cm="1">
        <f t="array" aca="1" ref="L44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40" s="8">
        <f t="shared" ca="1" si="62"/>
        <v>6438</v>
      </c>
      <c r="N440" s="4" t="str" cm="1">
        <f t="array" aca="1" ref="N440" ca="1">INDEX({"New";"Repeat"}, RANDBETWEEN(1,2))</f>
        <v>Repeat</v>
      </c>
      <c r="O440" s="4" t="str" cm="1">
        <f t="array" aca="1" ref="O440" ca="1">INDEX({"Loan";"Cash";"Lease"}, RANDBETWEEN(1,3))</f>
        <v>Lease</v>
      </c>
    </row>
    <row r="441" spans="1:15" x14ac:dyDescent="0.2">
      <c r="A441" s="4">
        <v>439</v>
      </c>
      <c r="B441" s="5">
        <f t="shared" ca="1" si="54"/>
        <v>44932</v>
      </c>
      <c r="C441" s="4" t="str" cm="1">
        <f t="array" aca="1" ref="C441" ca="1">INDEX({"Cochin";"Delhi";"Mumbai";"Pune";"Bengaluru"}, RANDBETWEEN(1,5))</f>
        <v>Bengaluru</v>
      </c>
      <c r="D441" s="4" t="str" cm="1">
        <f t="array" aca="1" ref="D441" ca="1">INDEX({"C-Class";"E-Class";"S-Class";"GLA";"GLC";"GLE";"GLS";"EQB"}, RANDBETWEEN(1,8))</f>
        <v>C-Class</v>
      </c>
      <c r="E441" s="4" t="str">
        <f t="shared" ca="1" si="55"/>
        <v>Sedan</v>
      </c>
      <c r="F441" s="4">
        <f t="shared" ca="1" si="56"/>
        <v>5</v>
      </c>
      <c r="G441" s="8">
        <f t="shared" ca="1" si="57"/>
        <v>6244128</v>
      </c>
      <c r="H441" s="8">
        <f t="shared" ca="1" si="58"/>
        <v>31220640</v>
      </c>
      <c r="I441" s="8">
        <f t="shared" ca="1" si="59"/>
        <v>25913131.199999999</v>
      </c>
      <c r="J441" s="8">
        <f t="shared" ca="1" si="60"/>
        <v>5307508.8000000007</v>
      </c>
      <c r="K441" s="6">
        <f t="shared" ca="1" si="61"/>
        <v>0.17</v>
      </c>
      <c r="L441" s="4" t="str" cm="1">
        <f t="array" aca="1" ref="L44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41" s="8">
        <f t="shared" ca="1" si="62"/>
        <v>6344</v>
      </c>
      <c r="N441" s="4" t="str" cm="1">
        <f t="array" aca="1" ref="N441" ca="1">INDEX({"New";"Repeat"}, RANDBETWEEN(1,2))</f>
        <v>Repeat</v>
      </c>
      <c r="O441" s="4" t="str" cm="1">
        <f t="array" aca="1" ref="O441" ca="1">INDEX({"Loan";"Cash";"Lease"}, RANDBETWEEN(1,3))</f>
        <v>Lease</v>
      </c>
    </row>
    <row r="442" spans="1:15" x14ac:dyDescent="0.2">
      <c r="A442" s="4">
        <v>440</v>
      </c>
      <c r="B442" s="5">
        <f t="shared" ca="1" si="54"/>
        <v>45740</v>
      </c>
      <c r="C442" s="4" t="str" cm="1">
        <f t="array" aca="1" ref="C442" ca="1">INDEX({"Cochin";"Delhi";"Mumbai";"Pune";"Bengaluru"}, RANDBETWEEN(1,5))</f>
        <v>Cochin</v>
      </c>
      <c r="D442" s="4" t="str" cm="1">
        <f t="array" aca="1" ref="D442" ca="1">INDEX({"C-Class";"E-Class";"S-Class";"GLA";"GLC";"GLE";"GLS";"EQB"}, RANDBETWEEN(1,8))</f>
        <v>E-Class</v>
      </c>
      <c r="E442" s="4" t="str">
        <f t="shared" ca="1" si="55"/>
        <v>Sedan</v>
      </c>
      <c r="F442" s="4">
        <f t="shared" ca="1" si="56"/>
        <v>1</v>
      </c>
      <c r="G442" s="8">
        <f t="shared" ca="1" si="57"/>
        <v>9446518</v>
      </c>
      <c r="H442" s="8">
        <f t="shared" ca="1" si="58"/>
        <v>9446518</v>
      </c>
      <c r="I442" s="8">
        <f t="shared" ca="1" si="59"/>
        <v>7273818.8600000003</v>
      </c>
      <c r="J442" s="8">
        <f t="shared" ca="1" si="60"/>
        <v>2172699.1399999997</v>
      </c>
      <c r="K442" s="6">
        <f t="shared" ca="1" si="61"/>
        <v>0.22999999999999995</v>
      </c>
      <c r="L442" s="4" t="str" cm="1">
        <f t="array" aca="1" ref="L442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42" s="8">
        <f t="shared" ca="1" si="62"/>
        <v>3827</v>
      </c>
      <c r="N442" s="4" t="str" cm="1">
        <f t="array" aca="1" ref="N442" ca="1">INDEX({"New";"Repeat"}, RANDBETWEEN(1,2))</f>
        <v>Repeat</v>
      </c>
      <c r="O442" s="4" t="str" cm="1">
        <f t="array" aca="1" ref="O442" ca="1">INDEX({"Loan";"Cash";"Lease"}, RANDBETWEEN(1,3))</f>
        <v>Cash</v>
      </c>
    </row>
    <row r="443" spans="1:15" x14ac:dyDescent="0.2">
      <c r="A443" s="4">
        <v>441</v>
      </c>
      <c r="B443" s="5">
        <f t="shared" ca="1" si="54"/>
        <v>45132</v>
      </c>
      <c r="C443" s="4" t="str" cm="1">
        <f t="array" aca="1" ref="C443" ca="1">INDEX({"Cochin";"Delhi";"Mumbai";"Pune";"Bengaluru"}, RANDBETWEEN(1,5))</f>
        <v>Cochin</v>
      </c>
      <c r="D443" s="4" t="str" cm="1">
        <f t="array" aca="1" ref="D443" ca="1">INDEX({"C-Class";"E-Class";"S-Class";"GLA";"GLC";"GLE";"GLS";"EQB"}, RANDBETWEEN(1,8))</f>
        <v>C-Class</v>
      </c>
      <c r="E443" s="4" t="str">
        <f t="shared" ca="1" si="55"/>
        <v>Sedan</v>
      </c>
      <c r="F443" s="4">
        <f t="shared" ca="1" si="56"/>
        <v>4</v>
      </c>
      <c r="G443" s="8">
        <f t="shared" ca="1" si="57"/>
        <v>6062736</v>
      </c>
      <c r="H443" s="8">
        <f t="shared" ca="1" si="58"/>
        <v>24250944</v>
      </c>
      <c r="I443" s="8">
        <f t="shared" ca="1" si="59"/>
        <v>16975660.800000001</v>
      </c>
      <c r="J443" s="8">
        <f t="shared" ca="1" si="60"/>
        <v>7275283.1999999993</v>
      </c>
      <c r="K443" s="6">
        <f t="shared" ca="1" si="61"/>
        <v>0.3</v>
      </c>
      <c r="L443" s="4" t="str" cm="1">
        <f t="array" aca="1" ref="L443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43" s="8">
        <f t="shared" ca="1" si="62"/>
        <v>6213</v>
      </c>
      <c r="N443" s="4" t="str" cm="1">
        <f t="array" aca="1" ref="N443" ca="1">INDEX({"New";"Repeat"}, RANDBETWEEN(1,2))</f>
        <v>Repeat</v>
      </c>
      <c r="O443" s="4" t="str" cm="1">
        <f t="array" aca="1" ref="O443" ca="1">INDEX({"Loan";"Cash";"Lease"}, RANDBETWEEN(1,3))</f>
        <v>Lease</v>
      </c>
    </row>
    <row r="444" spans="1:15" x14ac:dyDescent="0.2">
      <c r="A444" s="4">
        <v>442</v>
      </c>
      <c r="B444" s="5">
        <f t="shared" ca="1" si="54"/>
        <v>45050</v>
      </c>
      <c r="C444" s="4" t="str" cm="1">
        <f t="array" aca="1" ref="C444" ca="1">INDEX({"Cochin";"Delhi";"Mumbai";"Pune";"Bengaluru"}, RANDBETWEEN(1,5))</f>
        <v>Cochin</v>
      </c>
      <c r="D444" s="4" t="str" cm="1">
        <f t="array" aca="1" ref="D444" ca="1">INDEX({"C-Class";"E-Class";"S-Class";"GLA";"GLC";"GLE";"GLS";"EQB"}, RANDBETWEEN(1,8))</f>
        <v>GLS</v>
      </c>
      <c r="E444" s="4" t="str">
        <f t="shared" ca="1" si="55"/>
        <v>SUV</v>
      </c>
      <c r="F444" s="4">
        <f t="shared" ca="1" si="56"/>
        <v>4</v>
      </c>
      <c r="G444" s="8">
        <f t="shared" ca="1" si="57"/>
        <v>15270831</v>
      </c>
      <c r="H444" s="8">
        <f t="shared" ca="1" si="58"/>
        <v>61083324</v>
      </c>
      <c r="I444" s="8">
        <f t="shared" ca="1" si="59"/>
        <v>45201659.759999998</v>
      </c>
      <c r="J444" s="8">
        <f t="shared" ca="1" si="60"/>
        <v>15881664.240000002</v>
      </c>
      <c r="K444" s="6">
        <f t="shared" ca="1" si="61"/>
        <v>0.26</v>
      </c>
      <c r="L444" s="4" t="str" cm="1">
        <f t="array" aca="1" ref="L44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44" s="8">
        <f t="shared" ca="1" si="62"/>
        <v>10991</v>
      </c>
      <c r="N444" s="4" t="str" cm="1">
        <f t="array" aca="1" ref="N444" ca="1">INDEX({"New";"Repeat"}, RANDBETWEEN(1,2))</f>
        <v>New</v>
      </c>
      <c r="O444" s="4" t="str" cm="1">
        <f t="array" aca="1" ref="O444" ca="1">INDEX({"Loan";"Cash";"Lease"}, RANDBETWEEN(1,3))</f>
        <v>Lease</v>
      </c>
    </row>
    <row r="445" spans="1:15" x14ac:dyDescent="0.2">
      <c r="A445" s="4">
        <v>443</v>
      </c>
      <c r="B445" s="5">
        <f t="shared" ca="1" si="54"/>
        <v>45293</v>
      </c>
      <c r="C445" s="4" t="str" cm="1">
        <f t="array" aca="1" ref="C445" ca="1">INDEX({"Cochin";"Delhi";"Mumbai";"Pune";"Bengaluru"}, RANDBETWEEN(1,5))</f>
        <v>Pune</v>
      </c>
      <c r="D445" s="4" t="str" cm="1">
        <f t="array" aca="1" ref="D445" ca="1">INDEX({"C-Class";"E-Class";"S-Class";"GLA";"GLC";"GLE";"GLS";"EQB"}, RANDBETWEEN(1,8))</f>
        <v>GLC</v>
      </c>
      <c r="E445" s="4" t="str">
        <f t="shared" ca="1" si="55"/>
        <v>SUV</v>
      </c>
      <c r="F445" s="4">
        <f t="shared" ca="1" si="56"/>
        <v>3</v>
      </c>
      <c r="G445" s="8">
        <f t="shared" ca="1" si="57"/>
        <v>7302822</v>
      </c>
      <c r="H445" s="8">
        <f t="shared" ca="1" si="58"/>
        <v>21908466</v>
      </c>
      <c r="I445" s="8">
        <f t="shared" ca="1" si="59"/>
        <v>18403111.440000001</v>
      </c>
      <c r="J445" s="8">
        <f t="shared" ca="1" si="60"/>
        <v>3505354.5599999987</v>
      </c>
      <c r="K445" s="6">
        <f t="shared" ca="1" si="61"/>
        <v>0.15999999999999995</v>
      </c>
      <c r="L445" s="4" t="str" cm="1">
        <f t="array" aca="1" ref="L44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45" s="8">
        <f t="shared" ca="1" si="62"/>
        <v>10804</v>
      </c>
      <c r="N445" s="4" t="str" cm="1">
        <f t="array" aca="1" ref="N445" ca="1">INDEX({"New";"Repeat"}, RANDBETWEEN(1,2))</f>
        <v>New</v>
      </c>
      <c r="O445" s="4" t="str" cm="1">
        <f t="array" aca="1" ref="O445" ca="1">INDEX({"Loan";"Cash";"Lease"}, RANDBETWEEN(1,3))</f>
        <v>Cash</v>
      </c>
    </row>
    <row r="446" spans="1:15" x14ac:dyDescent="0.2">
      <c r="A446" s="4">
        <v>444</v>
      </c>
      <c r="B446" s="5">
        <f t="shared" ca="1" si="54"/>
        <v>45889</v>
      </c>
      <c r="C446" s="4" t="str" cm="1">
        <f t="array" aca="1" ref="C446" ca="1">INDEX({"Cochin";"Delhi";"Mumbai";"Pune";"Bengaluru"}, RANDBETWEEN(1,5))</f>
        <v>Delhi</v>
      </c>
      <c r="D446" s="4" t="str" cm="1">
        <f t="array" aca="1" ref="D446" ca="1">INDEX({"C-Class";"E-Class";"S-Class";"GLA";"GLC";"GLE";"GLS";"EQB"}, RANDBETWEEN(1,8))</f>
        <v>GLC</v>
      </c>
      <c r="E446" s="4" t="str">
        <f t="shared" ca="1" si="55"/>
        <v>SUV</v>
      </c>
      <c r="F446" s="4">
        <f t="shared" ca="1" si="56"/>
        <v>1</v>
      </c>
      <c r="G446" s="8">
        <f t="shared" ca="1" si="57"/>
        <v>7256867</v>
      </c>
      <c r="H446" s="8">
        <f t="shared" ca="1" si="58"/>
        <v>7256867</v>
      </c>
      <c r="I446" s="8">
        <f t="shared" ca="1" si="59"/>
        <v>5805493.5999999996</v>
      </c>
      <c r="J446" s="8">
        <f t="shared" ca="1" si="60"/>
        <v>1451373.4000000004</v>
      </c>
      <c r="K446" s="6">
        <f t="shared" ca="1" si="61"/>
        <v>0.20000000000000004</v>
      </c>
      <c r="L446" s="4" t="str" cm="1">
        <f t="array" aca="1" ref="L44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46" s="8">
        <f t="shared" ca="1" si="62"/>
        <v>6250</v>
      </c>
      <c r="N446" s="4" t="str" cm="1">
        <f t="array" aca="1" ref="N446" ca="1">INDEX({"New";"Repeat"}, RANDBETWEEN(1,2))</f>
        <v>Repeat</v>
      </c>
      <c r="O446" s="4" t="str" cm="1">
        <f t="array" aca="1" ref="O446" ca="1">INDEX({"Loan";"Cash";"Lease"}, RANDBETWEEN(1,3))</f>
        <v>Cash</v>
      </c>
    </row>
    <row r="447" spans="1:15" x14ac:dyDescent="0.2">
      <c r="A447" s="4">
        <v>445</v>
      </c>
      <c r="B447" s="5">
        <f t="shared" ca="1" si="54"/>
        <v>45523</v>
      </c>
      <c r="C447" s="4" t="str" cm="1">
        <f t="array" aca="1" ref="C447" ca="1">INDEX({"Cochin";"Delhi";"Mumbai";"Pune";"Bengaluru"}, RANDBETWEEN(1,5))</f>
        <v>Delhi</v>
      </c>
      <c r="D447" s="4" t="str" cm="1">
        <f t="array" aca="1" ref="D447" ca="1">INDEX({"C-Class";"E-Class";"S-Class";"GLA";"GLC";"GLE";"GLS";"EQB"}, RANDBETWEEN(1,8))</f>
        <v>GLS</v>
      </c>
      <c r="E447" s="4" t="str">
        <f t="shared" ca="1" si="55"/>
        <v>SUV</v>
      </c>
      <c r="F447" s="4">
        <f t="shared" ca="1" si="56"/>
        <v>3</v>
      </c>
      <c r="G447" s="8">
        <f t="shared" ca="1" si="57"/>
        <v>15947115</v>
      </c>
      <c r="H447" s="8">
        <f t="shared" ca="1" si="58"/>
        <v>47841345</v>
      </c>
      <c r="I447" s="8">
        <f t="shared" ca="1" si="59"/>
        <v>35881008.75</v>
      </c>
      <c r="J447" s="8">
        <f t="shared" ca="1" si="60"/>
        <v>11960336.25</v>
      </c>
      <c r="K447" s="6">
        <f t="shared" ca="1" si="61"/>
        <v>0.25</v>
      </c>
      <c r="L447" s="4" t="str" cm="1">
        <f t="array" aca="1" ref="L44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47" s="8">
        <f t="shared" ca="1" si="62"/>
        <v>23175</v>
      </c>
      <c r="N447" s="4" t="str" cm="1">
        <f t="array" aca="1" ref="N447" ca="1">INDEX({"New";"Repeat"}, RANDBETWEEN(1,2))</f>
        <v>New</v>
      </c>
      <c r="O447" s="4" t="str" cm="1">
        <f t="array" aca="1" ref="O447" ca="1">INDEX({"Loan";"Cash";"Lease"}, RANDBETWEEN(1,3))</f>
        <v>Cash</v>
      </c>
    </row>
    <row r="448" spans="1:15" x14ac:dyDescent="0.2">
      <c r="A448" s="4">
        <v>446</v>
      </c>
      <c r="B448" s="5">
        <f t="shared" ca="1" si="54"/>
        <v>44947</v>
      </c>
      <c r="C448" s="4" t="str" cm="1">
        <f t="array" aca="1" ref="C448" ca="1">INDEX({"Cochin";"Delhi";"Mumbai";"Pune";"Bengaluru"}, RANDBETWEEN(1,5))</f>
        <v>Cochin</v>
      </c>
      <c r="D448" s="4" t="str" cm="1">
        <f t="array" aca="1" ref="D448" ca="1">INDEX({"C-Class";"E-Class";"S-Class";"GLA";"GLC";"GLE";"GLS";"EQB"}, RANDBETWEEN(1,8))</f>
        <v>GLA</v>
      </c>
      <c r="E448" s="4" t="str">
        <f t="shared" ca="1" si="55"/>
        <v>SUV</v>
      </c>
      <c r="F448" s="4">
        <f t="shared" ca="1" si="56"/>
        <v>4</v>
      </c>
      <c r="G448" s="8">
        <f t="shared" ca="1" si="57"/>
        <v>4594310</v>
      </c>
      <c r="H448" s="8">
        <f t="shared" ca="1" si="58"/>
        <v>18377240</v>
      </c>
      <c r="I448" s="8">
        <f t="shared" ca="1" si="59"/>
        <v>14885564.4</v>
      </c>
      <c r="J448" s="8">
        <f t="shared" ca="1" si="60"/>
        <v>3491675.5999999996</v>
      </c>
      <c r="K448" s="6">
        <f t="shared" ca="1" si="61"/>
        <v>0.18999999999999997</v>
      </c>
      <c r="L448" s="4" t="str" cm="1">
        <f t="array" aca="1" ref="L448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48" s="8">
        <f t="shared" ca="1" si="62"/>
        <v>4428</v>
      </c>
      <c r="N448" s="4" t="str" cm="1">
        <f t="array" aca="1" ref="N448" ca="1">INDEX({"New";"Repeat"}, RANDBETWEEN(1,2))</f>
        <v>Repeat</v>
      </c>
      <c r="O448" s="4" t="str" cm="1">
        <f t="array" aca="1" ref="O448" ca="1">INDEX({"Loan";"Cash";"Lease"}, RANDBETWEEN(1,3))</f>
        <v>Loan</v>
      </c>
    </row>
    <row r="449" spans="1:15" x14ac:dyDescent="0.2">
      <c r="A449" s="4">
        <v>447</v>
      </c>
      <c r="B449" s="5">
        <f t="shared" ca="1" si="54"/>
        <v>45516</v>
      </c>
      <c r="C449" s="4" t="str" cm="1">
        <f t="array" aca="1" ref="C449" ca="1">INDEX({"Cochin";"Delhi";"Mumbai";"Pune";"Bengaluru"}, RANDBETWEEN(1,5))</f>
        <v>Bengaluru</v>
      </c>
      <c r="D449" s="4" t="str" cm="1">
        <f t="array" aca="1" ref="D449" ca="1">INDEX({"C-Class";"E-Class";"S-Class";"GLA";"GLC";"GLE";"GLS";"EQB"}, RANDBETWEEN(1,8))</f>
        <v>S-Class</v>
      </c>
      <c r="E449" s="4" t="str">
        <f t="shared" ca="1" si="55"/>
        <v>Sedan</v>
      </c>
      <c r="F449" s="4">
        <f t="shared" ca="1" si="56"/>
        <v>5</v>
      </c>
      <c r="G449" s="8">
        <f t="shared" ca="1" si="57"/>
        <v>19138497</v>
      </c>
      <c r="H449" s="8">
        <f t="shared" ca="1" si="58"/>
        <v>95692485</v>
      </c>
      <c r="I449" s="8">
        <f t="shared" ca="1" si="59"/>
        <v>68898589.200000003</v>
      </c>
      <c r="J449" s="8">
        <f t="shared" ca="1" si="60"/>
        <v>26793895.799999997</v>
      </c>
      <c r="K449" s="6">
        <f t="shared" ca="1" si="61"/>
        <v>0.27999999999999997</v>
      </c>
      <c r="L449" s="4" t="str" cm="1">
        <f t="array" aca="1" ref="L44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49" s="8">
        <f t="shared" ca="1" si="62"/>
        <v>16672</v>
      </c>
      <c r="N449" s="4" t="str" cm="1">
        <f t="array" aca="1" ref="N449" ca="1">INDEX({"New";"Repeat"}, RANDBETWEEN(1,2))</f>
        <v>New</v>
      </c>
      <c r="O449" s="4" t="str" cm="1">
        <f t="array" aca="1" ref="O449" ca="1">INDEX({"Loan";"Cash";"Lease"}, RANDBETWEEN(1,3))</f>
        <v>Lease</v>
      </c>
    </row>
    <row r="450" spans="1:15" x14ac:dyDescent="0.2">
      <c r="A450" s="4">
        <v>448</v>
      </c>
      <c r="B450" s="5">
        <f t="shared" ca="1" si="54"/>
        <v>45254</v>
      </c>
      <c r="C450" s="4" t="str" cm="1">
        <f t="array" aca="1" ref="C450" ca="1">INDEX({"Cochin";"Delhi";"Mumbai";"Pune";"Bengaluru"}, RANDBETWEEN(1,5))</f>
        <v>Cochin</v>
      </c>
      <c r="D450" s="4" t="str" cm="1">
        <f t="array" aca="1" ref="D450" ca="1">INDEX({"C-Class";"E-Class";"S-Class";"GLA";"GLC";"GLE";"GLS";"EQB"}, RANDBETWEEN(1,8))</f>
        <v>GLS</v>
      </c>
      <c r="E450" s="4" t="str">
        <f t="shared" ca="1" si="55"/>
        <v>SUV</v>
      </c>
      <c r="F450" s="4">
        <f t="shared" ca="1" si="56"/>
        <v>2</v>
      </c>
      <c r="G450" s="8">
        <f t="shared" ca="1" si="57"/>
        <v>16536171</v>
      </c>
      <c r="H450" s="8">
        <f t="shared" ca="1" si="58"/>
        <v>33072342</v>
      </c>
      <c r="I450" s="8">
        <f t="shared" ca="1" si="59"/>
        <v>23150639.399999999</v>
      </c>
      <c r="J450" s="8">
        <f t="shared" ca="1" si="60"/>
        <v>9921702.6000000015</v>
      </c>
      <c r="K450" s="6">
        <f t="shared" ca="1" si="61"/>
        <v>0.30000000000000004</v>
      </c>
      <c r="L450" s="4" t="str" cm="1">
        <f t="array" aca="1" ref="L450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50" s="8">
        <f t="shared" ca="1" si="62"/>
        <v>23956</v>
      </c>
      <c r="N450" s="4" t="str" cm="1">
        <f t="array" aca="1" ref="N450" ca="1">INDEX({"New";"Repeat"}, RANDBETWEEN(1,2))</f>
        <v>New</v>
      </c>
      <c r="O450" s="4" t="str" cm="1">
        <f t="array" aca="1" ref="O450" ca="1">INDEX({"Loan";"Cash";"Lease"}, RANDBETWEEN(1,3))</f>
        <v>Lease</v>
      </c>
    </row>
    <row r="451" spans="1:15" x14ac:dyDescent="0.2">
      <c r="A451" s="4">
        <v>449</v>
      </c>
      <c r="B451" s="5">
        <f t="shared" ca="1" si="54"/>
        <v>45740</v>
      </c>
      <c r="C451" s="4" t="str" cm="1">
        <f t="array" aca="1" ref="C451" ca="1">INDEX({"Cochin";"Delhi";"Mumbai";"Pune";"Bengaluru"}, RANDBETWEEN(1,5))</f>
        <v>Mumbai</v>
      </c>
      <c r="D451" s="4" t="str" cm="1">
        <f t="array" aca="1" ref="D451" ca="1">INDEX({"C-Class";"E-Class";"S-Class";"GLA";"GLC";"GLE";"GLS";"EQB"}, RANDBETWEEN(1,8))</f>
        <v>C-Class</v>
      </c>
      <c r="E451" s="4" t="str">
        <f t="shared" ca="1" si="55"/>
        <v>Sedan</v>
      </c>
      <c r="F451" s="4">
        <f t="shared" ca="1" si="56"/>
        <v>5</v>
      </c>
      <c r="G451" s="8">
        <f t="shared" ca="1" si="57"/>
        <v>5583135</v>
      </c>
      <c r="H451" s="8">
        <f t="shared" ca="1" si="58"/>
        <v>27915675</v>
      </c>
      <c r="I451" s="8">
        <f t="shared" ca="1" si="59"/>
        <v>20378442.75</v>
      </c>
      <c r="J451" s="8">
        <f t="shared" ca="1" si="60"/>
        <v>7537232.25</v>
      </c>
      <c r="K451" s="6">
        <f t="shared" ca="1" si="61"/>
        <v>0.27</v>
      </c>
      <c r="L451" s="4" t="str" cm="1">
        <f t="array" aca="1" ref="L451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51" s="8">
        <f t="shared" ca="1" si="62"/>
        <v>21841</v>
      </c>
      <c r="N451" s="4" t="str" cm="1">
        <f t="array" aca="1" ref="N451" ca="1">INDEX({"New";"Repeat"}, RANDBETWEEN(1,2))</f>
        <v>New</v>
      </c>
      <c r="O451" s="4" t="str" cm="1">
        <f t="array" aca="1" ref="O451" ca="1">INDEX({"Loan";"Cash";"Lease"}, RANDBETWEEN(1,3))</f>
        <v>Cash</v>
      </c>
    </row>
    <row r="452" spans="1:15" x14ac:dyDescent="0.2">
      <c r="A452" s="4">
        <v>450</v>
      </c>
      <c r="B452" s="5">
        <f t="shared" ref="B452:B515" ca="1" si="63">RANDBETWEEN(DATE(2023,1,1),DATE(2025,9,1))</f>
        <v>45688</v>
      </c>
      <c r="C452" s="4" t="str" cm="1">
        <f t="array" aca="1" ref="C452" ca="1">INDEX({"Cochin";"Delhi";"Mumbai";"Pune";"Bengaluru"}, RANDBETWEEN(1,5))</f>
        <v>Delhi</v>
      </c>
      <c r="D452" s="4" t="str" cm="1">
        <f t="array" aca="1" ref="D452" ca="1">INDEX({"C-Class";"E-Class";"S-Class";"GLA";"GLC";"GLE";"GLS";"EQB"}, RANDBETWEEN(1,8))</f>
        <v>GLA</v>
      </c>
      <c r="E452" s="4" t="str">
        <f t="shared" ref="E452:E515" ca="1" si="64">IF(D452="EQB","EV", IF(OR(D452="GLA",D452="GLC",D452="GLE",D452="GLS"),"SUV","Sedan"))</f>
        <v>SUV</v>
      </c>
      <c r="F452" s="4">
        <f t="shared" ref="F452:F515" ca="1" si="65">RANDBETWEEN(1,5)</f>
        <v>5</v>
      </c>
      <c r="G452" s="8">
        <f t="shared" ref="G452:G515" ca="1" si="66">IF(D452="C-Class",RANDBETWEEN(5500000,7000000),
IF(D452="E-Class",RANDBETWEEN(7500000,9500000),
IF(D452="S-Class",RANDBETWEEN(15000000,25000000),
IF(D452="GLA",RANDBETWEEN(4500000,5500000),
IF(D452="GLC",RANDBETWEEN(6500000,7500000),
IF(D452="GLE",RANDBETWEEN(9000000,13000000),
IF(D452="GLS",RANDBETWEEN(13000000,18000000),
IF(D452="EQB",RANDBETWEEN(7000000,8000000)))))))))</f>
        <v>5467272</v>
      </c>
      <c r="H452" s="8">
        <f t="shared" ref="H452:H515" ca="1" si="67">F452*G452</f>
        <v>27336360</v>
      </c>
      <c r="I452" s="8">
        <f t="shared" ref="I452:I515" ca="1" si="68">G452 *F452* RANDBETWEEN(70,85) / 100</f>
        <v>19682179.199999999</v>
      </c>
      <c r="J452" s="8">
        <f t="shared" ref="J452:J515" ca="1" si="69">H452 -I452</f>
        <v>7654180.8000000007</v>
      </c>
      <c r="K452" s="6">
        <f t="shared" ref="K452:K515" ca="1" si="70">J452/H452</f>
        <v>0.28000000000000003</v>
      </c>
      <c r="L452" s="4" t="str" cm="1">
        <f t="array" aca="1" ref="L452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52" s="8">
        <f t="shared" ref="M452:M515" ca="1" si="71">IF(N452="New", RANDBETWEEN(10000,25000), RANDBETWEEN(3000,8000))</f>
        <v>15186</v>
      </c>
      <c r="N452" s="4" t="str" cm="1">
        <f t="array" aca="1" ref="N452" ca="1">INDEX({"New";"Repeat"}, RANDBETWEEN(1,2))</f>
        <v>New</v>
      </c>
      <c r="O452" s="4" t="str" cm="1">
        <f t="array" aca="1" ref="O452" ca="1">INDEX({"Loan";"Cash";"Lease"}, RANDBETWEEN(1,3))</f>
        <v>Loan</v>
      </c>
    </row>
    <row r="453" spans="1:15" x14ac:dyDescent="0.2">
      <c r="A453" s="4">
        <v>451</v>
      </c>
      <c r="B453" s="5">
        <f t="shared" ca="1" si="63"/>
        <v>45775</v>
      </c>
      <c r="C453" s="4" t="str" cm="1">
        <f t="array" aca="1" ref="C453" ca="1">INDEX({"Cochin";"Delhi";"Mumbai";"Pune";"Bengaluru"}, RANDBETWEEN(1,5))</f>
        <v>Delhi</v>
      </c>
      <c r="D453" s="4" t="str" cm="1">
        <f t="array" aca="1" ref="D453" ca="1">INDEX({"C-Class";"E-Class";"S-Class";"GLA";"GLC";"GLE";"GLS";"EQB"}, RANDBETWEEN(1,8))</f>
        <v>E-Class</v>
      </c>
      <c r="E453" s="4" t="str">
        <f t="shared" ca="1" si="64"/>
        <v>Sedan</v>
      </c>
      <c r="F453" s="4">
        <f t="shared" ca="1" si="65"/>
        <v>2</v>
      </c>
      <c r="G453" s="8">
        <f t="shared" ca="1" si="66"/>
        <v>8540710</v>
      </c>
      <c r="H453" s="8">
        <f t="shared" ca="1" si="67"/>
        <v>17081420</v>
      </c>
      <c r="I453" s="8">
        <f t="shared" ca="1" si="68"/>
        <v>12127808.199999999</v>
      </c>
      <c r="J453" s="8">
        <f t="shared" ca="1" si="69"/>
        <v>4953611.8000000007</v>
      </c>
      <c r="K453" s="6">
        <f t="shared" ca="1" si="70"/>
        <v>0.29000000000000004</v>
      </c>
      <c r="L453" s="4" t="str" cm="1">
        <f t="array" aca="1" ref="L453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53" s="8">
        <f t="shared" ca="1" si="71"/>
        <v>19228</v>
      </c>
      <c r="N453" s="4" t="str" cm="1">
        <f t="array" aca="1" ref="N453" ca="1">INDEX({"New";"Repeat"}, RANDBETWEEN(1,2))</f>
        <v>New</v>
      </c>
      <c r="O453" s="4" t="str" cm="1">
        <f t="array" aca="1" ref="O453" ca="1">INDEX({"Loan";"Cash";"Lease"}, RANDBETWEEN(1,3))</f>
        <v>Cash</v>
      </c>
    </row>
    <row r="454" spans="1:15" x14ac:dyDescent="0.2">
      <c r="A454" s="4">
        <v>452</v>
      </c>
      <c r="B454" s="5">
        <f t="shared" ca="1" si="63"/>
        <v>45710</v>
      </c>
      <c r="C454" s="4" t="str" cm="1">
        <f t="array" aca="1" ref="C454" ca="1">INDEX({"Cochin";"Delhi";"Mumbai";"Pune";"Bengaluru"}, RANDBETWEEN(1,5))</f>
        <v>Cochin</v>
      </c>
      <c r="D454" s="4" t="str" cm="1">
        <f t="array" aca="1" ref="D454" ca="1">INDEX({"C-Class";"E-Class";"S-Class";"GLA";"GLC";"GLE";"GLS";"EQB"}, RANDBETWEEN(1,8))</f>
        <v>GLC</v>
      </c>
      <c r="E454" s="4" t="str">
        <f t="shared" ca="1" si="64"/>
        <v>SUV</v>
      </c>
      <c r="F454" s="4">
        <f t="shared" ca="1" si="65"/>
        <v>5</v>
      </c>
      <c r="G454" s="8">
        <f t="shared" ca="1" si="66"/>
        <v>6666793</v>
      </c>
      <c r="H454" s="8">
        <f t="shared" ca="1" si="67"/>
        <v>33333965</v>
      </c>
      <c r="I454" s="8">
        <f t="shared" ca="1" si="68"/>
        <v>27333851.300000001</v>
      </c>
      <c r="J454" s="8">
        <f t="shared" ca="1" si="69"/>
        <v>6000113.6999999993</v>
      </c>
      <c r="K454" s="6">
        <f t="shared" ca="1" si="70"/>
        <v>0.17999999999999997</v>
      </c>
      <c r="L454" s="4" t="str" cm="1">
        <f t="array" aca="1" ref="L45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54" s="8">
        <f t="shared" ca="1" si="71"/>
        <v>15680</v>
      </c>
      <c r="N454" s="4" t="str" cm="1">
        <f t="array" aca="1" ref="N454" ca="1">INDEX({"New";"Repeat"}, RANDBETWEEN(1,2))</f>
        <v>New</v>
      </c>
      <c r="O454" s="4" t="str" cm="1">
        <f t="array" aca="1" ref="O454" ca="1">INDEX({"Loan";"Cash";"Lease"}, RANDBETWEEN(1,3))</f>
        <v>Cash</v>
      </c>
    </row>
    <row r="455" spans="1:15" x14ac:dyDescent="0.2">
      <c r="A455" s="4">
        <v>453</v>
      </c>
      <c r="B455" s="5">
        <f t="shared" ca="1" si="63"/>
        <v>45105</v>
      </c>
      <c r="C455" s="4" t="str" cm="1">
        <f t="array" aca="1" ref="C455" ca="1">INDEX({"Cochin";"Delhi";"Mumbai";"Pune";"Bengaluru"}, RANDBETWEEN(1,5))</f>
        <v>Bengaluru</v>
      </c>
      <c r="D455" s="4" t="str" cm="1">
        <f t="array" aca="1" ref="D455" ca="1">INDEX({"C-Class";"E-Class";"S-Class";"GLA";"GLC";"GLE";"GLS";"EQB"}, RANDBETWEEN(1,8))</f>
        <v>GLA</v>
      </c>
      <c r="E455" s="4" t="str">
        <f t="shared" ca="1" si="64"/>
        <v>SUV</v>
      </c>
      <c r="F455" s="4">
        <f t="shared" ca="1" si="65"/>
        <v>1</v>
      </c>
      <c r="G455" s="8">
        <f t="shared" ca="1" si="66"/>
        <v>5176489</v>
      </c>
      <c r="H455" s="8">
        <f t="shared" ca="1" si="67"/>
        <v>5176489</v>
      </c>
      <c r="I455" s="8">
        <f t="shared" ca="1" si="68"/>
        <v>3882366.75</v>
      </c>
      <c r="J455" s="8">
        <f t="shared" ca="1" si="69"/>
        <v>1294122.25</v>
      </c>
      <c r="K455" s="6">
        <f t="shared" ca="1" si="70"/>
        <v>0.25</v>
      </c>
      <c r="L455" s="4" t="str" cm="1">
        <f t="array" aca="1" ref="L45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55" s="8">
        <f t="shared" ca="1" si="71"/>
        <v>7675</v>
      </c>
      <c r="N455" s="4" t="str" cm="1">
        <f t="array" aca="1" ref="N455" ca="1">INDEX({"New";"Repeat"}, RANDBETWEEN(1,2))</f>
        <v>Repeat</v>
      </c>
      <c r="O455" s="4" t="str" cm="1">
        <f t="array" aca="1" ref="O455" ca="1">INDEX({"Loan";"Cash";"Lease"}, RANDBETWEEN(1,3))</f>
        <v>Loan</v>
      </c>
    </row>
    <row r="456" spans="1:15" x14ac:dyDescent="0.2">
      <c r="A456" s="4">
        <v>454</v>
      </c>
      <c r="B456" s="5">
        <f t="shared" ca="1" si="63"/>
        <v>45805</v>
      </c>
      <c r="C456" s="4" t="str" cm="1">
        <f t="array" aca="1" ref="C456" ca="1">INDEX({"Cochin";"Delhi";"Mumbai";"Pune";"Bengaluru"}, RANDBETWEEN(1,5))</f>
        <v>Delhi</v>
      </c>
      <c r="D456" s="4" t="str" cm="1">
        <f t="array" aca="1" ref="D456" ca="1">INDEX({"C-Class";"E-Class";"S-Class";"GLA";"GLC";"GLE";"GLS";"EQB"}, RANDBETWEEN(1,8))</f>
        <v>S-Class</v>
      </c>
      <c r="E456" s="4" t="str">
        <f t="shared" ca="1" si="64"/>
        <v>Sedan</v>
      </c>
      <c r="F456" s="4">
        <f t="shared" ca="1" si="65"/>
        <v>1</v>
      </c>
      <c r="G456" s="8">
        <f t="shared" ca="1" si="66"/>
        <v>15084268</v>
      </c>
      <c r="H456" s="8">
        <f t="shared" ca="1" si="67"/>
        <v>15084268</v>
      </c>
      <c r="I456" s="8">
        <f t="shared" ca="1" si="68"/>
        <v>12218257.08</v>
      </c>
      <c r="J456" s="8">
        <f t="shared" ca="1" si="69"/>
        <v>2866010.92</v>
      </c>
      <c r="K456" s="6">
        <f t="shared" ca="1" si="70"/>
        <v>0.19</v>
      </c>
      <c r="L456" s="4" t="str" cm="1">
        <f t="array" aca="1" ref="L45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56" s="8">
        <f t="shared" ca="1" si="71"/>
        <v>3832</v>
      </c>
      <c r="N456" s="4" t="str" cm="1">
        <f t="array" aca="1" ref="N456" ca="1">INDEX({"New";"Repeat"}, RANDBETWEEN(1,2))</f>
        <v>Repeat</v>
      </c>
      <c r="O456" s="4" t="str" cm="1">
        <f t="array" aca="1" ref="O456" ca="1">INDEX({"Loan";"Cash";"Lease"}, RANDBETWEEN(1,3))</f>
        <v>Cash</v>
      </c>
    </row>
    <row r="457" spans="1:15" x14ac:dyDescent="0.2">
      <c r="A457" s="4">
        <v>455</v>
      </c>
      <c r="B457" s="5">
        <f t="shared" ca="1" si="63"/>
        <v>44965</v>
      </c>
      <c r="C457" s="4" t="str" cm="1">
        <f t="array" aca="1" ref="C457" ca="1">INDEX({"Cochin";"Delhi";"Mumbai";"Pune";"Bengaluru"}, RANDBETWEEN(1,5))</f>
        <v>Mumbai</v>
      </c>
      <c r="D457" s="4" t="str" cm="1">
        <f t="array" aca="1" ref="D457" ca="1">INDEX({"C-Class";"E-Class";"S-Class";"GLA";"GLC";"GLE";"GLS";"EQB"}, RANDBETWEEN(1,8))</f>
        <v>EQB</v>
      </c>
      <c r="E457" s="4" t="str">
        <f t="shared" ca="1" si="64"/>
        <v>EV</v>
      </c>
      <c r="F457" s="4">
        <f t="shared" ca="1" si="65"/>
        <v>1</v>
      </c>
      <c r="G457" s="8">
        <f t="shared" ca="1" si="66"/>
        <v>7049581</v>
      </c>
      <c r="H457" s="8">
        <f t="shared" ca="1" si="67"/>
        <v>7049581</v>
      </c>
      <c r="I457" s="8">
        <f t="shared" ca="1" si="68"/>
        <v>5216689.9400000004</v>
      </c>
      <c r="J457" s="8">
        <f t="shared" ca="1" si="69"/>
        <v>1832891.0599999996</v>
      </c>
      <c r="K457" s="6">
        <f t="shared" ca="1" si="70"/>
        <v>0.25999999999999995</v>
      </c>
      <c r="L457" s="4" t="str" cm="1">
        <f t="array" aca="1" ref="L45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57" s="8">
        <f t="shared" ca="1" si="71"/>
        <v>20707</v>
      </c>
      <c r="N457" s="4" t="str" cm="1">
        <f t="array" aca="1" ref="N457" ca="1">INDEX({"New";"Repeat"}, RANDBETWEEN(1,2))</f>
        <v>New</v>
      </c>
      <c r="O457" s="4" t="str" cm="1">
        <f t="array" aca="1" ref="O457" ca="1">INDEX({"Loan";"Cash";"Lease"}, RANDBETWEEN(1,3))</f>
        <v>Loan</v>
      </c>
    </row>
    <row r="458" spans="1:15" x14ac:dyDescent="0.2">
      <c r="A458" s="4">
        <v>456</v>
      </c>
      <c r="B458" s="5">
        <f t="shared" ca="1" si="63"/>
        <v>45093</v>
      </c>
      <c r="C458" s="4" t="str" cm="1">
        <f t="array" aca="1" ref="C458" ca="1">INDEX({"Cochin";"Delhi";"Mumbai";"Pune";"Bengaluru"}, RANDBETWEEN(1,5))</f>
        <v>Mumbai</v>
      </c>
      <c r="D458" s="4" t="str" cm="1">
        <f t="array" aca="1" ref="D458" ca="1">INDEX({"C-Class";"E-Class";"S-Class";"GLA";"GLC";"GLE";"GLS";"EQB"}, RANDBETWEEN(1,8))</f>
        <v>GLC</v>
      </c>
      <c r="E458" s="4" t="str">
        <f t="shared" ca="1" si="64"/>
        <v>SUV</v>
      </c>
      <c r="F458" s="4">
        <f t="shared" ca="1" si="65"/>
        <v>5</v>
      </c>
      <c r="G458" s="8">
        <f t="shared" ca="1" si="66"/>
        <v>7499452</v>
      </c>
      <c r="H458" s="8">
        <f t="shared" ca="1" si="67"/>
        <v>37497260</v>
      </c>
      <c r="I458" s="8">
        <f t="shared" ca="1" si="68"/>
        <v>26998027.199999999</v>
      </c>
      <c r="J458" s="8">
        <f t="shared" ca="1" si="69"/>
        <v>10499232.800000001</v>
      </c>
      <c r="K458" s="6">
        <f t="shared" ca="1" si="70"/>
        <v>0.28000000000000003</v>
      </c>
      <c r="L458" s="4" t="str" cm="1">
        <f t="array" aca="1" ref="L45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58" s="8">
        <f t="shared" ca="1" si="71"/>
        <v>22356</v>
      </c>
      <c r="N458" s="4" t="str" cm="1">
        <f t="array" aca="1" ref="N458" ca="1">INDEX({"New";"Repeat"}, RANDBETWEEN(1,2))</f>
        <v>New</v>
      </c>
      <c r="O458" s="4" t="str" cm="1">
        <f t="array" aca="1" ref="O458" ca="1">INDEX({"Loan";"Cash";"Lease"}, RANDBETWEEN(1,3))</f>
        <v>Lease</v>
      </c>
    </row>
    <row r="459" spans="1:15" x14ac:dyDescent="0.2">
      <c r="A459" s="4">
        <v>457</v>
      </c>
      <c r="B459" s="5">
        <f t="shared" ca="1" si="63"/>
        <v>45705</v>
      </c>
      <c r="C459" s="4" t="str" cm="1">
        <f t="array" aca="1" ref="C459" ca="1">INDEX({"Cochin";"Delhi";"Mumbai";"Pune";"Bengaluru"}, RANDBETWEEN(1,5))</f>
        <v>Delhi</v>
      </c>
      <c r="D459" s="4" t="str" cm="1">
        <f t="array" aca="1" ref="D459" ca="1">INDEX({"C-Class";"E-Class";"S-Class";"GLA";"GLC";"GLE";"GLS";"EQB"}, RANDBETWEEN(1,8))</f>
        <v>E-Class</v>
      </c>
      <c r="E459" s="4" t="str">
        <f t="shared" ca="1" si="64"/>
        <v>Sedan</v>
      </c>
      <c r="F459" s="4">
        <f t="shared" ca="1" si="65"/>
        <v>4</v>
      </c>
      <c r="G459" s="8">
        <f t="shared" ca="1" si="66"/>
        <v>8788402</v>
      </c>
      <c r="H459" s="8">
        <f t="shared" ca="1" si="67"/>
        <v>35153608</v>
      </c>
      <c r="I459" s="8">
        <f t="shared" ca="1" si="68"/>
        <v>24607525.600000001</v>
      </c>
      <c r="J459" s="8">
        <f t="shared" ca="1" si="69"/>
        <v>10546082.399999999</v>
      </c>
      <c r="K459" s="6">
        <f t="shared" ca="1" si="70"/>
        <v>0.29999999999999993</v>
      </c>
      <c r="L459" s="4" t="str" cm="1">
        <f t="array" aca="1" ref="L45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59" s="8">
        <f t="shared" ca="1" si="71"/>
        <v>6103</v>
      </c>
      <c r="N459" s="4" t="str" cm="1">
        <f t="array" aca="1" ref="N459" ca="1">INDEX({"New";"Repeat"}, RANDBETWEEN(1,2))</f>
        <v>Repeat</v>
      </c>
      <c r="O459" s="4" t="str" cm="1">
        <f t="array" aca="1" ref="O459" ca="1">INDEX({"Loan";"Cash";"Lease"}, RANDBETWEEN(1,3))</f>
        <v>Lease</v>
      </c>
    </row>
    <row r="460" spans="1:15" x14ac:dyDescent="0.2">
      <c r="A460" s="4">
        <v>458</v>
      </c>
      <c r="B460" s="5">
        <f t="shared" ca="1" si="63"/>
        <v>45670</v>
      </c>
      <c r="C460" s="4" t="str" cm="1">
        <f t="array" aca="1" ref="C460" ca="1">INDEX({"Cochin";"Delhi";"Mumbai";"Pune";"Bengaluru"}, RANDBETWEEN(1,5))</f>
        <v>Mumbai</v>
      </c>
      <c r="D460" s="4" t="str" cm="1">
        <f t="array" aca="1" ref="D460" ca="1">INDEX({"C-Class";"E-Class";"S-Class";"GLA";"GLC";"GLE";"GLS";"EQB"}, RANDBETWEEN(1,8))</f>
        <v>E-Class</v>
      </c>
      <c r="E460" s="4" t="str">
        <f t="shared" ca="1" si="64"/>
        <v>Sedan</v>
      </c>
      <c r="F460" s="4">
        <f t="shared" ca="1" si="65"/>
        <v>5</v>
      </c>
      <c r="G460" s="8">
        <f t="shared" ca="1" si="66"/>
        <v>8752774</v>
      </c>
      <c r="H460" s="8">
        <f t="shared" ca="1" si="67"/>
        <v>43763870</v>
      </c>
      <c r="I460" s="8">
        <f t="shared" ca="1" si="68"/>
        <v>36324012.100000001</v>
      </c>
      <c r="J460" s="8">
        <f t="shared" ca="1" si="69"/>
        <v>7439857.8999999985</v>
      </c>
      <c r="K460" s="6">
        <f t="shared" ca="1" si="70"/>
        <v>0.16999999999999996</v>
      </c>
      <c r="L460" s="4" t="str" cm="1">
        <f t="array" aca="1" ref="L46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60" s="8">
        <f t="shared" ca="1" si="71"/>
        <v>5796</v>
      </c>
      <c r="N460" s="4" t="str" cm="1">
        <f t="array" aca="1" ref="N460" ca="1">INDEX({"New";"Repeat"}, RANDBETWEEN(1,2))</f>
        <v>Repeat</v>
      </c>
      <c r="O460" s="4" t="str" cm="1">
        <f t="array" aca="1" ref="O460" ca="1">INDEX({"Loan";"Cash";"Lease"}, RANDBETWEEN(1,3))</f>
        <v>Cash</v>
      </c>
    </row>
    <row r="461" spans="1:15" x14ac:dyDescent="0.2">
      <c r="A461" s="4">
        <v>459</v>
      </c>
      <c r="B461" s="5">
        <f t="shared" ca="1" si="63"/>
        <v>45736</v>
      </c>
      <c r="C461" s="4" t="str" cm="1">
        <f t="array" aca="1" ref="C461" ca="1">INDEX({"Cochin";"Delhi";"Mumbai";"Pune";"Bengaluru"}, RANDBETWEEN(1,5))</f>
        <v>Cochin</v>
      </c>
      <c r="D461" s="4" t="str" cm="1">
        <f t="array" aca="1" ref="D461" ca="1">INDEX({"C-Class";"E-Class";"S-Class";"GLA";"GLC";"GLE";"GLS";"EQB"}, RANDBETWEEN(1,8))</f>
        <v>EQB</v>
      </c>
      <c r="E461" s="4" t="str">
        <f t="shared" ca="1" si="64"/>
        <v>EV</v>
      </c>
      <c r="F461" s="4">
        <f t="shared" ca="1" si="65"/>
        <v>4</v>
      </c>
      <c r="G461" s="8">
        <f t="shared" ca="1" si="66"/>
        <v>7619933</v>
      </c>
      <c r="H461" s="8">
        <f t="shared" ca="1" si="67"/>
        <v>30479732</v>
      </c>
      <c r="I461" s="8">
        <f t="shared" ca="1" si="68"/>
        <v>24688582.920000002</v>
      </c>
      <c r="J461" s="8">
        <f t="shared" ca="1" si="69"/>
        <v>5791149.0799999982</v>
      </c>
      <c r="K461" s="6">
        <f t="shared" ca="1" si="70"/>
        <v>0.18999999999999995</v>
      </c>
      <c r="L461" s="4" t="str" cm="1">
        <f t="array" aca="1" ref="L46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61" s="8">
        <f t="shared" ca="1" si="71"/>
        <v>5227</v>
      </c>
      <c r="N461" s="4" t="str" cm="1">
        <f t="array" aca="1" ref="N461" ca="1">INDEX({"New";"Repeat"}, RANDBETWEEN(1,2))</f>
        <v>Repeat</v>
      </c>
      <c r="O461" s="4" t="str" cm="1">
        <f t="array" aca="1" ref="O461" ca="1">INDEX({"Loan";"Cash";"Lease"}, RANDBETWEEN(1,3))</f>
        <v>Cash</v>
      </c>
    </row>
    <row r="462" spans="1:15" x14ac:dyDescent="0.2">
      <c r="A462" s="4">
        <v>460</v>
      </c>
      <c r="B462" s="5">
        <f t="shared" ca="1" si="63"/>
        <v>45573</v>
      </c>
      <c r="C462" s="4" t="str" cm="1">
        <f t="array" aca="1" ref="C462" ca="1">INDEX({"Cochin";"Delhi";"Mumbai";"Pune";"Bengaluru"}, RANDBETWEEN(1,5))</f>
        <v>Bengaluru</v>
      </c>
      <c r="D462" s="4" t="str" cm="1">
        <f t="array" aca="1" ref="D462" ca="1">INDEX({"C-Class";"E-Class";"S-Class";"GLA";"GLC";"GLE";"GLS";"EQB"}, RANDBETWEEN(1,8))</f>
        <v>GLC</v>
      </c>
      <c r="E462" s="4" t="str">
        <f t="shared" ca="1" si="64"/>
        <v>SUV</v>
      </c>
      <c r="F462" s="4">
        <f t="shared" ca="1" si="65"/>
        <v>4</v>
      </c>
      <c r="G462" s="8">
        <f t="shared" ca="1" si="66"/>
        <v>7144872</v>
      </c>
      <c r="H462" s="8">
        <f t="shared" ca="1" si="67"/>
        <v>28579488</v>
      </c>
      <c r="I462" s="8">
        <f t="shared" ca="1" si="68"/>
        <v>21148821.120000001</v>
      </c>
      <c r="J462" s="8">
        <f t="shared" ca="1" si="69"/>
        <v>7430666.879999999</v>
      </c>
      <c r="K462" s="6">
        <f t="shared" ca="1" si="70"/>
        <v>0.25999999999999995</v>
      </c>
      <c r="L462" s="4" t="str" cm="1">
        <f t="array" aca="1" ref="L46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62" s="8">
        <f t="shared" ca="1" si="71"/>
        <v>22744</v>
      </c>
      <c r="N462" s="4" t="str" cm="1">
        <f t="array" aca="1" ref="N462" ca="1">INDEX({"New";"Repeat"}, RANDBETWEEN(1,2))</f>
        <v>New</v>
      </c>
      <c r="O462" s="4" t="str" cm="1">
        <f t="array" aca="1" ref="O462" ca="1">INDEX({"Loan";"Cash";"Lease"}, RANDBETWEEN(1,3))</f>
        <v>Lease</v>
      </c>
    </row>
    <row r="463" spans="1:15" x14ac:dyDescent="0.2">
      <c r="A463" s="4">
        <v>461</v>
      </c>
      <c r="B463" s="5">
        <f t="shared" ca="1" si="63"/>
        <v>45508</v>
      </c>
      <c r="C463" s="4" t="str" cm="1">
        <f t="array" aca="1" ref="C463" ca="1">INDEX({"Cochin";"Delhi";"Mumbai";"Pune";"Bengaluru"}, RANDBETWEEN(1,5))</f>
        <v>Mumbai</v>
      </c>
      <c r="D463" s="4" t="str" cm="1">
        <f t="array" aca="1" ref="D463" ca="1">INDEX({"C-Class";"E-Class";"S-Class";"GLA";"GLC";"GLE";"GLS";"EQB"}, RANDBETWEEN(1,8))</f>
        <v>GLC</v>
      </c>
      <c r="E463" s="4" t="str">
        <f t="shared" ca="1" si="64"/>
        <v>SUV</v>
      </c>
      <c r="F463" s="4">
        <f t="shared" ca="1" si="65"/>
        <v>2</v>
      </c>
      <c r="G463" s="8">
        <f t="shared" ca="1" si="66"/>
        <v>6534128</v>
      </c>
      <c r="H463" s="8">
        <f t="shared" ca="1" si="67"/>
        <v>13068256</v>
      </c>
      <c r="I463" s="8">
        <f t="shared" ca="1" si="68"/>
        <v>10454604.800000001</v>
      </c>
      <c r="J463" s="8">
        <f t="shared" ca="1" si="69"/>
        <v>2613651.1999999993</v>
      </c>
      <c r="K463" s="6">
        <f t="shared" ca="1" si="70"/>
        <v>0.19999999999999996</v>
      </c>
      <c r="L463" s="4" t="str" cm="1">
        <f t="array" aca="1" ref="L46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463" s="8">
        <f t="shared" ca="1" si="71"/>
        <v>21532</v>
      </c>
      <c r="N463" s="4" t="str" cm="1">
        <f t="array" aca="1" ref="N463" ca="1">INDEX({"New";"Repeat"}, RANDBETWEEN(1,2))</f>
        <v>New</v>
      </c>
      <c r="O463" s="4" t="str" cm="1">
        <f t="array" aca="1" ref="O463" ca="1">INDEX({"Loan";"Cash";"Lease"}, RANDBETWEEN(1,3))</f>
        <v>Loan</v>
      </c>
    </row>
    <row r="464" spans="1:15" x14ac:dyDescent="0.2">
      <c r="A464" s="4">
        <v>462</v>
      </c>
      <c r="B464" s="5">
        <f t="shared" ca="1" si="63"/>
        <v>45864</v>
      </c>
      <c r="C464" s="4" t="str" cm="1">
        <f t="array" aca="1" ref="C464" ca="1">INDEX({"Cochin";"Delhi";"Mumbai";"Pune";"Bengaluru"}, RANDBETWEEN(1,5))</f>
        <v>Mumbai</v>
      </c>
      <c r="D464" s="4" t="str" cm="1">
        <f t="array" aca="1" ref="D464" ca="1">INDEX({"C-Class";"E-Class";"S-Class";"GLA";"GLC";"GLE";"GLS";"EQB"}, RANDBETWEEN(1,8))</f>
        <v>C-Class</v>
      </c>
      <c r="E464" s="4" t="str">
        <f t="shared" ca="1" si="64"/>
        <v>Sedan</v>
      </c>
      <c r="F464" s="4">
        <f t="shared" ca="1" si="65"/>
        <v>4</v>
      </c>
      <c r="G464" s="8">
        <f t="shared" ca="1" si="66"/>
        <v>5531492</v>
      </c>
      <c r="H464" s="8">
        <f t="shared" ca="1" si="67"/>
        <v>22125968</v>
      </c>
      <c r="I464" s="8">
        <f t="shared" ca="1" si="68"/>
        <v>16151956.640000001</v>
      </c>
      <c r="J464" s="8">
        <f t="shared" ca="1" si="69"/>
        <v>5974011.3599999994</v>
      </c>
      <c r="K464" s="6">
        <f t="shared" ca="1" si="70"/>
        <v>0.26999999999999996</v>
      </c>
      <c r="L464" s="4" t="str" cm="1">
        <f t="array" aca="1" ref="L464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64" s="8">
        <f t="shared" ca="1" si="71"/>
        <v>21923</v>
      </c>
      <c r="N464" s="4" t="str" cm="1">
        <f t="array" aca="1" ref="N464" ca="1">INDEX({"New";"Repeat"}, RANDBETWEEN(1,2))</f>
        <v>New</v>
      </c>
      <c r="O464" s="4" t="str" cm="1">
        <f t="array" aca="1" ref="O464" ca="1">INDEX({"Loan";"Cash";"Lease"}, RANDBETWEEN(1,3))</f>
        <v>Loan</v>
      </c>
    </row>
    <row r="465" spans="1:15" x14ac:dyDescent="0.2">
      <c r="A465" s="4">
        <v>463</v>
      </c>
      <c r="B465" s="5">
        <f t="shared" ca="1" si="63"/>
        <v>45089</v>
      </c>
      <c r="C465" s="4" t="str" cm="1">
        <f t="array" aca="1" ref="C465" ca="1">INDEX({"Cochin";"Delhi";"Mumbai";"Pune";"Bengaluru"}, RANDBETWEEN(1,5))</f>
        <v>Pune</v>
      </c>
      <c r="D465" s="4" t="str" cm="1">
        <f t="array" aca="1" ref="D465" ca="1">INDEX({"C-Class";"E-Class";"S-Class";"GLA";"GLC";"GLE";"GLS";"EQB"}, RANDBETWEEN(1,8))</f>
        <v>S-Class</v>
      </c>
      <c r="E465" s="4" t="str">
        <f t="shared" ca="1" si="64"/>
        <v>Sedan</v>
      </c>
      <c r="F465" s="4">
        <f t="shared" ca="1" si="65"/>
        <v>5</v>
      </c>
      <c r="G465" s="8">
        <f t="shared" ca="1" si="66"/>
        <v>20521985</v>
      </c>
      <c r="H465" s="8">
        <f t="shared" ca="1" si="67"/>
        <v>102609925</v>
      </c>
      <c r="I465" s="8">
        <f t="shared" ca="1" si="68"/>
        <v>82087940</v>
      </c>
      <c r="J465" s="8">
        <f t="shared" ca="1" si="69"/>
        <v>20521985</v>
      </c>
      <c r="K465" s="6">
        <f t="shared" ca="1" si="70"/>
        <v>0.2</v>
      </c>
      <c r="L465" s="4" t="str" cm="1">
        <f t="array" aca="1" ref="L46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65" s="8">
        <f t="shared" ca="1" si="71"/>
        <v>21746</v>
      </c>
      <c r="N465" s="4" t="str" cm="1">
        <f t="array" aca="1" ref="N465" ca="1">INDEX({"New";"Repeat"}, RANDBETWEEN(1,2))</f>
        <v>New</v>
      </c>
      <c r="O465" s="4" t="str" cm="1">
        <f t="array" aca="1" ref="O465" ca="1">INDEX({"Loan";"Cash";"Lease"}, RANDBETWEEN(1,3))</f>
        <v>Loan</v>
      </c>
    </row>
    <row r="466" spans="1:15" x14ac:dyDescent="0.2">
      <c r="A466" s="4">
        <v>464</v>
      </c>
      <c r="B466" s="5">
        <f t="shared" ca="1" si="63"/>
        <v>45101</v>
      </c>
      <c r="C466" s="4" t="str" cm="1">
        <f t="array" aca="1" ref="C466" ca="1">INDEX({"Cochin";"Delhi";"Mumbai";"Pune";"Bengaluru"}, RANDBETWEEN(1,5))</f>
        <v>Cochin</v>
      </c>
      <c r="D466" s="4" t="str" cm="1">
        <f t="array" aca="1" ref="D466" ca="1">INDEX({"C-Class";"E-Class";"S-Class";"GLA";"GLC";"GLE";"GLS";"EQB"}, RANDBETWEEN(1,8))</f>
        <v>EQB</v>
      </c>
      <c r="E466" s="4" t="str">
        <f t="shared" ca="1" si="64"/>
        <v>EV</v>
      </c>
      <c r="F466" s="4">
        <f t="shared" ca="1" si="65"/>
        <v>3</v>
      </c>
      <c r="G466" s="8">
        <f t="shared" ca="1" si="66"/>
        <v>7595942</v>
      </c>
      <c r="H466" s="8">
        <f t="shared" ca="1" si="67"/>
        <v>22787826</v>
      </c>
      <c r="I466" s="8">
        <f t="shared" ca="1" si="68"/>
        <v>16862991.239999998</v>
      </c>
      <c r="J466" s="8">
        <f t="shared" ca="1" si="69"/>
        <v>5924834.7600000016</v>
      </c>
      <c r="K466" s="6">
        <f t="shared" ca="1" si="70"/>
        <v>0.26000000000000006</v>
      </c>
      <c r="L466" s="4" t="str" cm="1">
        <f t="array" aca="1" ref="L46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66" s="8">
        <f t="shared" ca="1" si="71"/>
        <v>18462</v>
      </c>
      <c r="N466" s="4" t="str" cm="1">
        <f t="array" aca="1" ref="N466" ca="1">INDEX({"New";"Repeat"}, RANDBETWEEN(1,2))</f>
        <v>New</v>
      </c>
      <c r="O466" s="4" t="str" cm="1">
        <f t="array" aca="1" ref="O466" ca="1">INDEX({"Loan";"Cash";"Lease"}, RANDBETWEEN(1,3))</f>
        <v>Loan</v>
      </c>
    </row>
    <row r="467" spans="1:15" x14ac:dyDescent="0.2">
      <c r="A467" s="4">
        <v>465</v>
      </c>
      <c r="B467" s="5">
        <f t="shared" ca="1" si="63"/>
        <v>45613</v>
      </c>
      <c r="C467" s="4" t="str" cm="1">
        <f t="array" aca="1" ref="C467" ca="1">INDEX({"Cochin";"Delhi";"Mumbai";"Pune";"Bengaluru"}, RANDBETWEEN(1,5))</f>
        <v>Cochin</v>
      </c>
      <c r="D467" s="4" t="str" cm="1">
        <f t="array" aca="1" ref="D467" ca="1">INDEX({"C-Class";"E-Class";"S-Class";"GLA";"GLC";"GLE";"GLS";"EQB"}, RANDBETWEEN(1,8))</f>
        <v>GLE</v>
      </c>
      <c r="E467" s="4" t="str">
        <f t="shared" ca="1" si="64"/>
        <v>SUV</v>
      </c>
      <c r="F467" s="4">
        <f t="shared" ca="1" si="65"/>
        <v>5</v>
      </c>
      <c r="G467" s="8">
        <f t="shared" ca="1" si="66"/>
        <v>9346166</v>
      </c>
      <c r="H467" s="8">
        <f t="shared" ca="1" si="67"/>
        <v>46730830</v>
      </c>
      <c r="I467" s="8">
        <f t="shared" ca="1" si="68"/>
        <v>36917355.700000003</v>
      </c>
      <c r="J467" s="8">
        <f t="shared" ca="1" si="69"/>
        <v>9813474.299999997</v>
      </c>
      <c r="K467" s="6">
        <f t="shared" ca="1" si="70"/>
        <v>0.20999999999999994</v>
      </c>
      <c r="L467" s="4" t="str" cm="1">
        <f t="array" aca="1" ref="L46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67" s="8">
        <f t="shared" ca="1" si="71"/>
        <v>17195</v>
      </c>
      <c r="N467" s="4" t="str" cm="1">
        <f t="array" aca="1" ref="N467" ca="1">INDEX({"New";"Repeat"}, RANDBETWEEN(1,2))</f>
        <v>New</v>
      </c>
      <c r="O467" s="4" t="str" cm="1">
        <f t="array" aca="1" ref="O467" ca="1">INDEX({"Loan";"Cash";"Lease"}, RANDBETWEEN(1,3))</f>
        <v>Lease</v>
      </c>
    </row>
    <row r="468" spans="1:15" x14ac:dyDescent="0.2">
      <c r="A468" s="4">
        <v>466</v>
      </c>
      <c r="B468" s="5">
        <f t="shared" ca="1" si="63"/>
        <v>45178</v>
      </c>
      <c r="C468" s="4" t="str" cm="1">
        <f t="array" aca="1" ref="C468" ca="1">INDEX({"Cochin";"Delhi";"Mumbai";"Pune";"Bengaluru"}, RANDBETWEEN(1,5))</f>
        <v>Delhi</v>
      </c>
      <c r="D468" s="4" t="str" cm="1">
        <f t="array" aca="1" ref="D468" ca="1">INDEX({"C-Class";"E-Class";"S-Class";"GLA";"GLC";"GLE";"GLS";"EQB"}, RANDBETWEEN(1,8))</f>
        <v>GLS</v>
      </c>
      <c r="E468" s="4" t="str">
        <f t="shared" ca="1" si="64"/>
        <v>SUV</v>
      </c>
      <c r="F468" s="4">
        <f t="shared" ca="1" si="65"/>
        <v>5</v>
      </c>
      <c r="G468" s="8">
        <f t="shared" ca="1" si="66"/>
        <v>13711569</v>
      </c>
      <c r="H468" s="8">
        <f t="shared" ca="1" si="67"/>
        <v>68557845</v>
      </c>
      <c r="I468" s="8">
        <f t="shared" ca="1" si="68"/>
        <v>58274168.25</v>
      </c>
      <c r="J468" s="8">
        <f t="shared" ca="1" si="69"/>
        <v>10283676.75</v>
      </c>
      <c r="K468" s="6">
        <f t="shared" ca="1" si="70"/>
        <v>0.15</v>
      </c>
      <c r="L468" s="4" t="str" cm="1">
        <f t="array" aca="1" ref="L468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68" s="8">
        <f t="shared" ca="1" si="71"/>
        <v>23176</v>
      </c>
      <c r="N468" s="4" t="str" cm="1">
        <f t="array" aca="1" ref="N468" ca="1">INDEX({"New";"Repeat"}, RANDBETWEEN(1,2))</f>
        <v>New</v>
      </c>
      <c r="O468" s="4" t="str" cm="1">
        <f t="array" aca="1" ref="O468" ca="1">INDEX({"Loan";"Cash";"Lease"}, RANDBETWEEN(1,3))</f>
        <v>Cash</v>
      </c>
    </row>
    <row r="469" spans="1:15" x14ac:dyDescent="0.2">
      <c r="A469" s="4">
        <v>467</v>
      </c>
      <c r="B469" s="5">
        <f t="shared" ca="1" si="63"/>
        <v>45138</v>
      </c>
      <c r="C469" s="4" t="str" cm="1">
        <f t="array" aca="1" ref="C469" ca="1">INDEX({"Cochin";"Delhi";"Mumbai";"Pune";"Bengaluru"}, RANDBETWEEN(1,5))</f>
        <v>Delhi</v>
      </c>
      <c r="D469" s="4" t="str" cm="1">
        <f t="array" aca="1" ref="D469" ca="1">INDEX({"C-Class";"E-Class";"S-Class";"GLA";"GLC";"GLE";"GLS";"EQB"}, RANDBETWEEN(1,8))</f>
        <v>GLC</v>
      </c>
      <c r="E469" s="4" t="str">
        <f t="shared" ca="1" si="64"/>
        <v>SUV</v>
      </c>
      <c r="F469" s="4">
        <f t="shared" ca="1" si="65"/>
        <v>1</v>
      </c>
      <c r="G469" s="8">
        <f t="shared" ca="1" si="66"/>
        <v>6563611</v>
      </c>
      <c r="H469" s="8">
        <f t="shared" ca="1" si="67"/>
        <v>6563611</v>
      </c>
      <c r="I469" s="8">
        <f t="shared" ca="1" si="68"/>
        <v>4725799.92</v>
      </c>
      <c r="J469" s="8">
        <f t="shared" ca="1" si="69"/>
        <v>1837811.08</v>
      </c>
      <c r="K469" s="6">
        <f t="shared" ca="1" si="70"/>
        <v>0.28000000000000003</v>
      </c>
      <c r="L469" s="4" t="str" cm="1">
        <f t="array" aca="1" ref="L46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69" s="8">
        <f t="shared" ca="1" si="71"/>
        <v>22349</v>
      </c>
      <c r="N469" s="4" t="str" cm="1">
        <f t="array" aca="1" ref="N469" ca="1">INDEX({"New";"Repeat"}, RANDBETWEEN(1,2))</f>
        <v>New</v>
      </c>
      <c r="O469" s="4" t="str" cm="1">
        <f t="array" aca="1" ref="O469" ca="1">INDEX({"Loan";"Cash";"Lease"}, RANDBETWEEN(1,3))</f>
        <v>Loan</v>
      </c>
    </row>
    <row r="470" spans="1:15" x14ac:dyDescent="0.2">
      <c r="A470" s="4">
        <v>468</v>
      </c>
      <c r="B470" s="5">
        <f t="shared" ca="1" si="63"/>
        <v>45497</v>
      </c>
      <c r="C470" s="4" t="str" cm="1">
        <f t="array" aca="1" ref="C470" ca="1">INDEX({"Cochin";"Delhi";"Mumbai";"Pune";"Bengaluru"}, RANDBETWEEN(1,5))</f>
        <v>Delhi</v>
      </c>
      <c r="D470" s="4" t="str" cm="1">
        <f t="array" aca="1" ref="D470" ca="1">INDEX({"C-Class";"E-Class";"S-Class";"GLA";"GLC";"GLE";"GLS";"EQB"}, RANDBETWEEN(1,8))</f>
        <v>S-Class</v>
      </c>
      <c r="E470" s="4" t="str">
        <f t="shared" ca="1" si="64"/>
        <v>Sedan</v>
      </c>
      <c r="F470" s="4">
        <f t="shared" ca="1" si="65"/>
        <v>4</v>
      </c>
      <c r="G470" s="8">
        <f t="shared" ca="1" si="66"/>
        <v>22435398</v>
      </c>
      <c r="H470" s="8">
        <f t="shared" ca="1" si="67"/>
        <v>89741592</v>
      </c>
      <c r="I470" s="8">
        <f t="shared" ca="1" si="68"/>
        <v>66408778.079999998</v>
      </c>
      <c r="J470" s="8">
        <f t="shared" ca="1" si="69"/>
        <v>23332813.920000002</v>
      </c>
      <c r="K470" s="6">
        <f t="shared" ca="1" si="70"/>
        <v>0.26</v>
      </c>
      <c r="L470" s="4" t="str" cm="1">
        <f t="array" aca="1" ref="L47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70" s="8">
        <f t="shared" ca="1" si="71"/>
        <v>3983</v>
      </c>
      <c r="N470" s="4" t="str" cm="1">
        <f t="array" aca="1" ref="N470" ca="1">INDEX({"New";"Repeat"}, RANDBETWEEN(1,2))</f>
        <v>Repeat</v>
      </c>
      <c r="O470" s="4" t="str" cm="1">
        <f t="array" aca="1" ref="O470" ca="1">INDEX({"Loan";"Cash";"Lease"}, RANDBETWEEN(1,3))</f>
        <v>Loan</v>
      </c>
    </row>
    <row r="471" spans="1:15" x14ac:dyDescent="0.2">
      <c r="A471" s="4">
        <v>469</v>
      </c>
      <c r="B471" s="5">
        <f t="shared" ca="1" si="63"/>
        <v>45346</v>
      </c>
      <c r="C471" s="4" t="str" cm="1">
        <f t="array" aca="1" ref="C471" ca="1">INDEX({"Cochin";"Delhi";"Mumbai";"Pune";"Bengaluru"}, RANDBETWEEN(1,5))</f>
        <v>Bengaluru</v>
      </c>
      <c r="D471" s="4" t="str" cm="1">
        <f t="array" aca="1" ref="D471" ca="1">INDEX({"C-Class";"E-Class";"S-Class";"GLA";"GLC";"GLE";"GLS";"EQB"}, RANDBETWEEN(1,8))</f>
        <v>E-Class</v>
      </c>
      <c r="E471" s="4" t="str">
        <f t="shared" ca="1" si="64"/>
        <v>Sedan</v>
      </c>
      <c r="F471" s="4">
        <f t="shared" ca="1" si="65"/>
        <v>5</v>
      </c>
      <c r="G471" s="8">
        <f t="shared" ca="1" si="66"/>
        <v>7935515</v>
      </c>
      <c r="H471" s="8">
        <f t="shared" ca="1" si="67"/>
        <v>39677575</v>
      </c>
      <c r="I471" s="8">
        <f t="shared" ca="1" si="68"/>
        <v>32535611.5</v>
      </c>
      <c r="J471" s="8">
        <f t="shared" ca="1" si="69"/>
        <v>7141963.5</v>
      </c>
      <c r="K471" s="6">
        <f t="shared" ca="1" si="70"/>
        <v>0.18</v>
      </c>
      <c r="L471" s="4" t="str" cm="1">
        <f t="array" aca="1" ref="L47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71" s="8">
        <f t="shared" ca="1" si="71"/>
        <v>6178</v>
      </c>
      <c r="N471" s="4" t="str" cm="1">
        <f t="array" aca="1" ref="N471" ca="1">INDEX({"New";"Repeat"}, RANDBETWEEN(1,2))</f>
        <v>Repeat</v>
      </c>
      <c r="O471" s="4" t="str" cm="1">
        <f t="array" aca="1" ref="O471" ca="1">INDEX({"Loan";"Cash";"Lease"}, RANDBETWEEN(1,3))</f>
        <v>Lease</v>
      </c>
    </row>
    <row r="472" spans="1:15" x14ac:dyDescent="0.2">
      <c r="A472" s="4">
        <v>470</v>
      </c>
      <c r="B472" s="5">
        <f t="shared" ca="1" si="63"/>
        <v>45287</v>
      </c>
      <c r="C472" s="4" t="str" cm="1">
        <f t="array" aca="1" ref="C472" ca="1">INDEX({"Cochin";"Delhi";"Mumbai";"Pune";"Bengaluru"}, RANDBETWEEN(1,5))</f>
        <v>Mumbai</v>
      </c>
      <c r="D472" s="4" t="str" cm="1">
        <f t="array" aca="1" ref="D472" ca="1">INDEX({"C-Class";"E-Class";"S-Class";"GLA";"GLC";"GLE";"GLS";"EQB"}, RANDBETWEEN(1,8))</f>
        <v>GLE</v>
      </c>
      <c r="E472" s="4" t="str">
        <f t="shared" ca="1" si="64"/>
        <v>SUV</v>
      </c>
      <c r="F472" s="4">
        <f t="shared" ca="1" si="65"/>
        <v>3</v>
      </c>
      <c r="G472" s="8">
        <f t="shared" ca="1" si="66"/>
        <v>11653027</v>
      </c>
      <c r="H472" s="8">
        <f t="shared" ca="1" si="67"/>
        <v>34959081</v>
      </c>
      <c r="I472" s="8">
        <f t="shared" ca="1" si="68"/>
        <v>26568901.559999999</v>
      </c>
      <c r="J472" s="8">
        <f t="shared" ca="1" si="69"/>
        <v>8390179.4400000013</v>
      </c>
      <c r="K472" s="6">
        <f t="shared" ca="1" si="70"/>
        <v>0.24000000000000005</v>
      </c>
      <c r="L472" s="4" t="str" cm="1">
        <f t="array" aca="1" ref="L472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72" s="8">
        <f t="shared" ca="1" si="71"/>
        <v>7554</v>
      </c>
      <c r="N472" s="4" t="str" cm="1">
        <f t="array" aca="1" ref="N472" ca="1">INDEX({"New";"Repeat"}, RANDBETWEEN(1,2))</f>
        <v>Repeat</v>
      </c>
      <c r="O472" s="4" t="str" cm="1">
        <f t="array" aca="1" ref="O472" ca="1">INDEX({"Loan";"Cash";"Lease"}, RANDBETWEEN(1,3))</f>
        <v>Cash</v>
      </c>
    </row>
    <row r="473" spans="1:15" x14ac:dyDescent="0.2">
      <c r="A473" s="4">
        <v>471</v>
      </c>
      <c r="B473" s="5">
        <f t="shared" ca="1" si="63"/>
        <v>45064</v>
      </c>
      <c r="C473" s="4" t="str" cm="1">
        <f t="array" aca="1" ref="C473" ca="1">INDEX({"Cochin";"Delhi";"Mumbai";"Pune";"Bengaluru"}, RANDBETWEEN(1,5))</f>
        <v>Bengaluru</v>
      </c>
      <c r="D473" s="4" t="str" cm="1">
        <f t="array" aca="1" ref="D473" ca="1">INDEX({"C-Class";"E-Class";"S-Class";"GLA";"GLC";"GLE";"GLS";"EQB"}, RANDBETWEEN(1,8))</f>
        <v>GLS</v>
      </c>
      <c r="E473" s="4" t="str">
        <f t="shared" ca="1" si="64"/>
        <v>SUV</v>
      </c>
      <c r="F473" s="4">
        <f t="shared" ca="1" si="65"/>
        <v>2</v>
      </c>
      <c r="G473" s="8">
        <f t="shared" ca="1" si="66"/>
        <v>15764784</v>
      </c>
      <c r="H473" s="8">
        <f t="shared" ca="1" si="67"/>
        <v>31529568</v>
      </c>
      <c r="I473" s="8">
        <f t="shared" ca="1" si="68"/>
        <v>22385993.280000001</v>
      </c>
      <c r="J473" s="8">
        <f t="shared" ca="1" si="69"/>
        <v>9143574.7199999988</v>
      </c>
      <c r="K473" s="6">
        <f t="shared" ca="1" si="70"/>
        <v>0.28999999999999998</v>
      </c>
      <c r="L473" s="4" t="str" cm="1">
        <f t="array" aca="1" ref="L47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73" s="8">
        <f t="shared" ca="1" si="71"/>
        <v>7906</v>
      </c>
      <c r="N473" s="4" t="str" cm="1">
        <f t="array" aca="1" ref="N473" ca="1">INDEX({"New";"Repeat"}, RANDBETWEEN(1,2))</f>
        <v>Repeat</v>
      </c>
      <c r="O473" s="4" t="str" cm="1">
        <f t="array" aca="1" ref="O473" ca="1">INDEX({"Loan";"Cash";"Lease"}, RANDBETWEEN(1,3))</f>
        <v>Lease</v>
      </c>
    </row>
    <row r="474" spans="1:15" x14ac:dyDescent="0.2">
      <c r="A474" s="4">
        <v>472</v>
      </c>
      <c r="B474" s="5">
        <f t="shared" ca="1" si="63"/>
        <v>45302</v>
      </c>
      <c r="C474" s="4" t="str" cm="1">
        <f t="array" aca="1" ref="C474" ca="1">INDEX({"Cochin";"Delhi";"Mumbai";"Pune";"Bengaluru"}, RANDBETWEEN(1,5))</f>
        <v>Pune</v>
      </c>
      <c r="D474" s="4" t="str" cm="1">
        <f t="array" aca="1" ref="D474" ca="1">INDEX({"C-Class";"E-Class";"S-Class";"GLA";"GLC";"GLE";"GLS";"EQB"}, RANDBETWEEN(1,8))</f>
        <v>EQB</v>
      </c>
      <c r="E474" s="4" t="str">
        <f t="shared" ca="1" si="64"/>
        <v>EV</v>
      </c>
      <c r="F474" s="4">
        <f t="shared" ca="1" si="65"/>
        <v>3</v>
      </c>
      <c r="G474" s="8">
        <f t="shared" ca="1" si="66"/>
        <v>7228047</v>
      </c>
      <c r="H474" s="8">
        <f t="shared" ca="1" si="67"/>
        <v>21684141</v>
      </c>
      <c r="I474" s="8">
        <f t="shared" ca="1" si="68"/>
        <v>16913629.98</v>
      </c>
      <c r="J474" s="8">
        <f t="shared" ca="1" si="69"/>
        <v>4770511.0199999996</v>
      </c>
      <c r="K474" s="6">
        <f t="shared" ca="1" si="70"/>
        <v>0.21999999999999997</v>
      </c>
      <c r="L474" s="4" t="str" cm="1">
        <f t="array" aca="1" ref="L47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74" s="8">
        <f t="shared" ca="1" si="71"/>
        <v>11130</v>
      </c>
      <c r="N474" s="4" t="str" cm="1">
        <f t="array" aca="1" ref="N474" ca="1">INDEX({"New";"Repeat"}, RANDBETWEEN(1,2))</f>
        <v>New</v>
      </c>
      <c r="O474" s="4" t="str" cm="1">
        <f t="array" aca="1" ref="O474" ca="1">INDEX({"Loan";"Cash";"Lease"}, RANDBETWEEN(1,3))</f>
        <v>Loan</v>
      </c>
    </row>
    <row r="475" spans="1:15" x14ac:dyDescent="0.2">
      <c r="A475" s="4">
        <v>473</v>
      </c>
      <c r="B475" s="5">
        <f t="shared" ca="1" si="63"/>
        <v>45278</v>
      </c>
      <c r="C475" s="4" t="str" cm="1">
        <f t="array" aca="1" ref="C475" ca="1">INDEX({"Cochin";"Delhi";"Mumbai";"Pune";"Bengaluru"}, RANDBETWEEN(1,5))</f>
        <v>Mumbai</v>
      </c>
      <c r="D475" s="4" t="str" cm="1">
        <f t="array" aca="1" ref="D475" ca="1">INDEX({"C-Class";"E-Class";"S-Class";"GLA";"GLC";"GLE";"GLS";"EQB"}, RANDBETWEEN(1,8))</f>
        <v>C-Class</v>
      </c>
      <c r="E475" s="4" t="str">
        <f t="shared" ca="1" si="64"/>
        <v>Sedan</v>
      </c>
      <c r="F475" s="4">
        <f t="shared" ca="1" si="65"/>
        <v>1</v>
      </c>
      <c r="G475" s="8">
        <f t="shared" ca="1" si="66"/>
        <v>6621781</v>
      </c>
      <c r="H475" s="8">
        <f t="shared" ca="1" si="67"/>
        <v>6621781</v>
      </c>
      <c r="I475" s="8">
        <f t="shared" ca="1" si="68"/>
        <v>5363642.6100000003</v>
      </c>
      <c r="J475" s="8">
        <f t="shared" ca="1" si="69"/>
        <v>1258138.3899999997</v>
      </c>
      <c r="K475" s="6">
        <f t="shared" ca="1" si="70"/>
        <v>0.18999999999999995</v>
      </c>
      <c r="L475" s="4" t="str" cm="1">
        <f t="array" aca="1" ref="L47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75" s="8">
        <f t="shared" ca="1" si="71"/>
        <v>15588</v>
      </c>
      <c r="N475" s="4" t="str" cm="1">
        <f t="array" aca="1" ref="N475" ca="1">INDEX({"New";"Repeat"}, RANDBETWEEN(1,2))</f>
        <v>New</v>
      </c>
      <c r="O475" s="4" t="str" cm="1">
        <f t="array" aca="1" ref="O475" ca="1">INDEX({"Loan";"Cash";"Lease"}, RANDBETWEEN(1,3))</f>
        <v>Loan</v>
      </c>
    </row>
    <row r="476" spans="1:15" x14ac:dyDescent="0.2">
      <c r="A476" s="4">
        <v>474</v>
      </c>
      <c r="B476" s="5">
        <f t="shared" ca="1" si="63"/>
        <v>45424</v>
      </c>
      <c r="C476" s="4" t="str" cm="1">
        <f t="array" aca="1" ref="C476" ca="1">INDEX({"Cochin";"Delhi";"Mumbai";"Pune";"Bengaluru"}, RANDBETWEEN(1,5))</f>
        <v>Pune</v>
      </c>
      <c r="D476" s="4" t="str" cm="1">
        <f t="array" aca="1" ref="D476" ca="1">INDEX({"C-Class";"E-Class";"S-Class";"GLA";"GLC";"GLE";"GLS";"EQB"}, RANDBETWEEN(1,8))</f>
        <v>EQB</v>
      </c>
      <c r="E476" s="4" t="str">
        <f t="shared" ca="1" si="64"/>
        <v>EV</v>
      </c>
      <c r="F476" s="4">
        <f t="shared" ca="1" si="65"/>
        <v>2</v>
      </c>
      <c r="G476" s="8">
        <f t="shared" ca="1" si="66"/>
        <v>7032280</v>
      </c>
      <c r="H476" s="8">
        <f t="shared" ca="1" si="67"/>
        <v>14064560</v>
      </c>
      <c r="I476" s="8">
        <f t="shared" ca="1" si="68"/>
        <v>11954876</v>
      </c>
      <c r="J476" s="8">
        <f t="shared" ca="1" si="69"/>
        <v>2109684</v>
      </c>
      <c r="K476" s="6">
        <f t="shared" ca="1" si="70"/>
        <v>0.15</v>
      </c>
      <c r="L476" s="4" t="str" cm="1">
        <f t="array" aca="1" ref="L47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476" s="8">
        <f t="shared" ca="1" si="71"/>
        <v>4618</v>
      </c>
      <c r="N476" s="4" t="str" cm="1">
        <f t="array" aca="1" ref="N476" ca="1">INDEX({"New";"Repeat"}, RANDBETWEEN(1,2))</f>
        <v>Repeat</v>
      </c>
      <c r="O476" s="4" t="str" cm="1">
        <f t="array" aca="1" ref="O476" ca="1">INDEX({"Loan";"Cash";"Lease"}, RANDBETWEEN(1,3))</f>
        <v>Lease</v>
      </c>
    </row>
    <row r="477" spans="1:15" x14ac:dyDescent="0.2">
      <c r="A477" s="4">
        <v>475</v>
      </c>
      <c r="B477" s="5">
        <f t="shared" ca="1" si="63"/>
        <v>45560</v>
      </c>
      <c r="C477" s="4" t="str" cm="1">
        <f t="array" aca="1" ref="C477" ca="1">INDEX({"Cochin";"Delhi";"Mumbai";"Pune";"Bengaluru"}, RANDBETWEEN(1,5))</f>
        <v>Pune</v>
      </c>
      <c r="D477" s="4" t="str" cm="1">
        <f t="array" aca="1" ref="D477" ca="1">INDEX({"C-Class";"E-Class";"S-Class";"GLA";"GLC";"GLE";"GLS";"EQB"}, RANDBETWEEN(1,8))</f>
        <v>E-Class</v>
      </c>
      <c r="E477" s="4" t="str">
        <f t="shared" ca="1" si="64"/>
        <v>Sedan</v>
      </c>
      <c r="F477" s="4">
        <f t="shared" ca="1" si="65"/>
        <v>5</v>
      </c>
      <c r="G477" s="8">
        <f t="shared" ca="1" si="66"/>
        <v>7836082</v>
      </c>
      <c r="H477" s="8">
        <f t="shared" ca="1" si="67"/>
        <v>39180410</v>
      </c>
      <c r="I477" s="8">
        <f t="shared" ca="1" si="68"/>
        <v>29385307.5</v>
      </c>
      <c r="J477" s="8">
        <f t="shared" ca="1" si="69"/>
        <v>9795102.5</v>
      </c>
      <c r="K477" s="6">
        <f t="shared" ca="1" si="70"/>
        <v>0.25</v>
      </c>
      <c r="L477" s="4" t="str" cm="1">
        <f t="array" aca="1" ref="L47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77" s="8">
        <f t="shared" ca="1" si="71"/>
        <v>23302</v>
      </c>
      <c r="N477" s="4" t="str" cm="1">
        <f t="array" aca="1" ref="N477" ca="1">INDEX({"New";"Repeat"}, RANDBETWEEN(1,2))</f>
        <v>New</v>
      </c>
      <c r="O477" s="4" t="str" cm="1">
        <f t="array" aca="1" ref="O477" ca="1">INDEX({"Loan";"Cash";"Lease"}, RANDBETWEEN(1,3))</f>
        <v>Lease</v>
      </c>
    </row>
    <row r="478" spans="1:15" x14ac:dyDescent="0.2">
      <c r="A478" s="4">
        <v>476</v>
      </c>
      <c r="B478" s="5">
        <f t="shared" ca="1" si="63"/>
        <v>45257</v>
      </c>
      <c r="C478" s="4" t="str" cm="1">
        <f t="array" aca="1" ref="C478" ca="1">INDEX({"Cochin";"Delhi";"Mumbai";"Pune";"Bengaluru"}, RANDBETWEEN(1,5))</f>
        <v>Bengaluru</v>
      </c>
      <c r="D478" s="4" t="str" cm="1">
        <f t="array" aca="1" ref="D478" ca="1">INDEX({"C-Class";"E-Class";"S-Class";"GLA";"GLC";"GLE";"GLS";"EQB"}, RANDBETWEEN(1,8))</f>
        <v>S-Class</v>
      </c>
      <c r="E478" s="4" t="str">
        <f t="shared" ca="1" si="64"/>
        <v>Sedan</v>
      </c>
      <c r="F478" s="4">
        <f t="shared" ca="1" si="65"/>
        <v>2</v>
      </c>
      <c r="G478" s="8">
        <f t="shared" ca="1" si="66"/>
        <v>23090245</v>
      </c>
      <c r="H478" s="8">
        <f t="shared" ca="1" si="67"/>
        <v>46180490</v>
      </c>
      <c r="I478" s="8">
        <f t="shared" ca="1" si="68"/>
        <v>36482587.100000001</v>
      </c>
      <c r="J478" s="8">
        <f t="shared" ca="1" si="69"/>
        <v>9697902.8999999985</v>
      </c>
      <c r="K478" s="6">
        <f t="shared" ca="1" si="70"/>
        <v>0.20999999999999996</v>
      </c>
      <c r="L478" s="4" t="str" cm="1">
        <f t="array" aca="1" ref="L478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78" s="8">
        <f t="shared" ca="1" si="71"/>
        <v>4592</v>
      </c>
      <c r="N478" s="4" t="str" cm="1">
        <f t="array" aca="1" ref="N478" ca="1">INDEX({"New";"Repeat"}, RANDBETWEEN(1,2))</f>
        <v>Repeat</v>
      </c>
      <c r="O478" s="4" t="str" cm="1">
        <f t="array" aca="1" ref="O478" ca="1">INDEX({"Loan";"Cash";"Lease"}, RANDBETWEEN(1,3))</f>
        <v>Lease</v>
      </c>
    </row>
    <row r="479" spans="1:15" x14ac:dyDescent="0.2">
      <c r="A479" s="4">
        <v>477</v>
      </c>
      <c r="B479" s="5">
        <f t="shared" ca="1" si="63"/>
        <v>45417</v>
      </c>
      <c r="C479" s="4" t="str" cm="1">
        <f t="array" aca="1" ref="C479" ca="1">INDEX({"Cochin";"Delhi";"Mumbai";"Pune";"Bengaluru"}, RANDBETWEEN(1,5))</f>
        <v>Mumbai</v>
      </c>
      <c r="D479" s="4" t="str" cm="1">
        <f t="array" aca="1" ref="D479" ca="1">INDEX({"C-Class";"E-Class";"S-Class";"GLA";"GLC";"GLE";"GLS";"EQB"}, RANDBETWEEN(1,8))</f>
        <v>C-Class</v>
      </c>
      <c r="E479" s="4" t="str">
        <f t="shared" ca="1" si="64"/>
        <v>Sedan</v>
      </c>
      <c r="F479" s="4">
        <f t="shared" ca="1" si="65"/>
        <v>4</v>
      </c>
      <c r="G479" s="8">
        <f t="shared" ca="1" si="66"/>
        <v>6211183</v>
      </c>
      <c r="H479" s="8">
        <f t="shared" ca="1" si="67"/>
        <v>24844732</v>
      </c>
      <c r="I479" s="8">
        <f t="shared" ca="1" si="68"/>
        <v>18136654.359999999</v>
      </c>
      <c r="J479" s="8">
        <f t="shared" ca="1" si="69"/>
        <v>6708077.6400000006</v>
      </c>
      <c r="K479" s="6">
        <f t="shared" ca="1" si="70"/>
        <v>0.27</v>
      </c>
      <c r="L479" s="4" t="str" cm="1">
        <f t="array" aca="1" ref="L47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479" s="8">
        <f t="shared" ca="1" si="71"/>
        <v>7768</v>
      </c>
      <c r="N479" s="4" t="str" cm="1">
        <f t="array" aca="1" ref="N479" ca="1">INDEX({"New";"Repeat"}, RANDBETWEEN(1,2))</f>
        <v>Repeat</v>
      </c>
      <c r="O479" s="4" t="str" cm="1">
        <f t="array" aca="1" ref="O479" ca="1">INDEX({"Loan";"Cash";"Lease"}, RANDBETWEEN(1,3))</f>
        <v>Cash</v>
      </c>
    </row>
    <row r="480" spans="1:15" x14ac:dyDescent="0.2">
      <c r="A480" s="4">
        <v>478</v>
      </c>
      <c r="B480" s="5">
        <f t="shared" ca="1" si="63"/>
        <v>45899</v>
      </c>
      <c r="C480" s="4" t="str" cm="1">
        <f t="array" aca="1" ref="C480" ca="1">INDEX({"Cochin";"Delhi";"Mumbai";"Pune";"Bengaluru"}, RANDBETWEEN(1,5))</f>
        <v>Bengaluru</v>
      </c>
      <c r="D480" s="4" t="str" cm="1">
        <f t="array" aca="1" ref="D480" ca="1">INDEX({"C-Class";"E-Class";"S-Class";"GLA";"GLC";"GLE";"GLS";"EQB"}, RANDBETWEEN(1,8))</f>
        <v>C-Class</v>
      </c>
      <c r="E480" s="4" t="str">
        <f t="shared" ca="1" si="64"/>
        <v>Sedan</v>
      </c>
      <c r="F480" s="4">
        <f t="shared" ca="1" si="65"/>
        <v>3</v>
      </c>
      <c r="G480" s="8">
        <f t="shared" ca="1" si="66"/>
        <v>6278671</v>
      </c>
      <c r="H480" s="8">
        <f t="shared" ca="1" si="67"/>
        <v>18836013</v>
      </c>
      <c r="I480" s="8">
        <f t="shared" ca="1" si="68"/>
        <v>14692090.140000001</v>
      </c>
      <c r="J480" s="8">
        <f t="shared" ca="1" si="69"/>
        <v>4143922.8599999994</v>
      </c>
      <c r="K480" s="6">
        <f t="shared" ca="1" si="70"/>
        <v>0.21999999999999997</v>
      </c>
      <c r="L480" s="4" t="str" cm="1">
        <f t="array" aca="1" ref="L48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480" s="8">
        <f t="shared" ca="1" si="71"/>
        <v>4690</v>
      </c>
      <c r="N480" s="4" t="str" cm="1">
        <f t="array" aca="1" ref="N480" ca="1">INDEX({"New";"Repeat"}, RANDBETWEEN(1,2))</f>
        <v>Repeat</v>
      </c>
      <c r="O480" s="4" t="str" cm="1">
        <f t="array" aca="1" ref="O480" ca="1">INDEX({"Loan";"Cash";"Lease"}, RANDBETWEEN(1,3))</f>
        <v>Loan</v>
      </c>
    </row>
    <row r="481" spans="1:15" x14ac:dyDescent="0.2">
      <c r="A481" s="4">
        <v>479</v>
      </c>
      <c r="B481" s="5">
        <f t="shared" ca="1" si="63"/>
        <v>45895</v>
      </c>
      <c r="C481" s="4" t="str" cm="1">
        <f t="array" aca="1" ref="C481" ca="1">INDEX({"Cochin";"Delhi";"Mumbai";"Pune";"Bengaluru"}, RANDBETWEEN(1,5))</f>
        <v>Delhi</v>
      </c>
      <c r="D481" s="4" t="str" cm="1">
        <f t="array" aca="1" ref="D481" ca="1">INDEX({"C-Class";"E-Class";"S-Class";"GLA";"GLC";"GLE";"GLS";"EQB"}, RANDBETWEEN(1,8))</f>
        <v>C-Class</v>
      </c>
      <c r="E481" s="4" t="str">
        <f t="shared" ca="1" si="64"/>
        <v>Sedan</v>
      </c>
      <c r="F481" s="4">
        <f t="shared" ca="1" si="65"/>
        <v>1</v>
      </c>
      <c r="G481" s="8">
        <f t="shared" ca="1" si="66"/>
        <v>5820303</v>
      </c>
      <c r="H481" s="8">
        <f t="shared" ca="1" si="67"/>
        <v>5820303</v>
      </c>
      <c r="I481" s="8">
        <f t="shared" ca="1" si="68"/>
        <v>4830851.49</v>
      </c>
      <c r="J481" s="8">
        <f t="shared" ca="1" si="69"/>
        <v>989451.50999999978</v>
      </c>
      <c r="K481" s="6">
        <f t="shared" ca="1" si="70"/>
        <v>0.16999999999999996</v>
      </c>
      <c r="L481" s="4" t="str" cm="1">
        <f t="array" aca="1" ref="L48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81" s="8">
        <f t="shared" ca="1" si="71"/>
        <v>4470</v>
      </c>
      <c r="N481" s="4" t="str" cm="1">
        <f t="array" aca="1" ref="N481" ca="1">INDEX({"New";"Repeat"}, RANDBETWEEN(1,2))</f>
        <v>Repeat</v>
      </c>
      <c r="O481" s="4" t="str" cm="1">
        <f t="array" aca="1" ref="O481" ca="1">INDEX({"Loan";"Cash";"Lease"}, RANDBETWEEN(1,3))</f>
        <v>Loan</v>
      </c>
    </row>
    <row r="482" spans="1:15" x14ac:dyDescent="0.2">
      <c r="A482" s="4">
        <v>480</v>
      </c>
      <c r="B482" s="5">
        <f t="shared" ca="1" si="63"/>
        <v>45116</v>
      </c>
      <c r="C482" s="4" t="str" cm="1">
        <f t="array" aca="1" ref="C482" ca="1">INDEX({"Cochin";"Delhi";"Mumbai";"Pune";"Bengaluru"}, RANDBETWEEN(1,5))</f>
        <v>Cochin</v>
      </c>
      <c r="D482" s="4" t="str" cm="1">
        <f t="array" aca="1" ref="D482" ca="1">INDEX({"C-Class";"E-Class";"S-Class";"GLA";"GLC";"GLE";"GLS";"EQB"}, RANDBETWEEN(1,8))</f>
        <v>GLE</v>
      </c>
      <c r="E482" s="4" t="str">
        <f t="shared" ca="1" si="64"/>
        <v>SUV</v>
      </c>
      <c r="F482" s="4">
        <f t="shared" ca="1" si="65"/>
        <v>1</v>
      </c>
      <c r="G482" s="8">
        <f t="shared" ca="1" si="66"/>
        <v>11396499</v>
      </c>
      <c r="H482" s="8">
        <f t="shared" ca="1" si="67"/>
        <v>11396499</v>
      </c>
      <c r="I482" s="8">
        <f t="shared" ca="1" si="68"/>
        <v>8319444.2699999996</v>
      </c>
      <c r="J482" s="8">
        <f t="shared" ca="1" si="69"/>
        <v>3077054.7300000004</v>
      </c>
      <c r="K482" s="6">
        <f t="shared" ca="1" si="70"/>
        <v>0.27</v>
      </c>
      <c r="L482" s="4" t="str" cm="1">
        <f t="array" aca="1" ref="L48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82" s="8">
        <f t="shared" ca="1" si="71"/>
        <v>4988</v>
      </c>
      <c r="N482" s="4" t="str" cm="1">
        <f t="array" aca="1" ref="N482" ca="1">INDEX({"New";"Repeat"}, RANDBETWEEN(1,2))</f>
        <v>Repeat</v>
      </c>
      <c r="O482" s="4" t="str" cm="1">
        <f t="array" aca="1" ref="O482" ca="1">INDEX({"Loan";"Cash";"Lease"}, RANDBETWEEN(1,3))</f>
        <v>Loan</v>
      </c>
    </row>
    <row r="483" spans="1:15" x14ac:dyDescent="0.2">
      <c r="A483" s="4">
        <v>481</v>
      </c>
      <c r="B483" s="5">
        <f t="shared" ca="1" si="63"/>
        <v>45627</v>
      </c>
      <c r="C483" s="4" t="str" cm="1">
        <f t="array" aca="1" ref="C483" ca="1">INDEX({"Cochin";"Delhi";"Mumbai";"Pune";"Bengaluru"}, RANDBETWEEN(1,5))</f>
        <v>Cochin</v>
      </c>
      <c r="D483" s="4" t="str" cm="1">
        <f t="array" aca="1" ref="D483" ca="1">INDEX({"C-Class";"E-Class";"S-Class";"GLA";"GLC";"GLE";"GLS";"EQB"}, RANDBETWEEN(1,8))</f>
        <v>GLS</v>
      </c>
      <c r="E483" s="4" t="str">
        <f t="shared" ca="1" si="64"/>
        <v>SUV</v>
      </c>
      <c r="F483" s="4">
        <f t="shared" ca="1" si="65"/>
        <v>3</v>
      </c>
      <c r="G483" s="8">
        <f t="shared" ca="1" si="66"/>
        <v>14484709</v>
      </c>
      <c r="H483" s="8">
        <f t="shared" ca="1" si="67"/>
        <v>43454127</v>
      </c>
      <c r="I483" s="8">
        <f t="shared" ca="1" si="68"/>
        <v>34763301.600000001</v>
      </c>
      <c r="J483" s="8">
        <f t="shared" ca="1" si="69"/>
        <v>8690825.3999999985</v>
      </c>
      <c r="K483" s="6">
        <f t="shared" ca="1" si="70"/>
        <v>0.19999999999999996</v>
      </c>
      <c r="L483" s="4" t="str" cm="1">
        <f t="array" aca="1" ref="L48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483" s="8">
        <f t="shared" ca="1" si="71"/>
        <v>18853</v>
      </c>
      <c r="N483" s="4" t="str" cm="1">
        <f t="array" aca="1" ref="N483" ca="1">INDEX({"New";"Repeat"}, RANDBETWEEN(1,2))</f>
        <v>New</v>
      </c>
      <c r="O483" s="4" t="str" cm="1">
        <f t="array" aca="1" ref="O483" ca="1">INDEX({"Loan";"Cash";"Lease"}, RANDBETWEEN(1,3))</f>
        <v>Cash</v>
      </c>
    </row>
    <row r="484" spans="1:15" x14ac:dyDescent="0.2">
      <c r="A484" s="4">
        <v>482</v>
      </c>
      <c r="B484" s="5">
        <f t="shared" ca="1" si="63"/>
        <v>45152</v>
      </c>
      <c r="C484" s="4" t="str" cm="1">
        <f t="array" aca="1" ref="C484" ca="1">INDEX({"Cochin";"Delhi";"Mumbai";"Pune";"Bengaluru"}, RANDBETWEEN(1,5))</f>
        <v>Mumbai</v>
      </c>
      <c r="D484" s="4" t="str" cm="1">
        <f t="array" aca="1" ref="D484" ca="1">INDEX({"C-Class";"E-Class";"S-Class";"GLA";"GLC";"GLE";"GLS";"EQB"}, RANDBETWEEN(1,8))</f>
        <v>GLA</v>
      </c>
      <c r="E484" s="4" t="str">
        <f t="shared" ca="1" si="64"/>
        <v>SUV</v>
      </c>
      <c r="F484" s="4">
        <f t="shared" ca="1" si="65"/>
        <v>3</v>
      </c>
      <c r="G484" s="8">
        <f t="shared" ca="1" si="66"/>
        <v>5051008</v>
      </c>
      <c r="H484" s="8">
        <f t="shared" ca="1" si="67"/>
        <v>15153024</v>
      </c>
      <c r="I484" s="8">
        <f t="shared" ca="1" si="68"/>
        <v>12273949.439999999</v>
      </c>
      <c r="J484" s="8">
        <f t="shared" ca="1" si="69"/>
        <v>2879074.5600000005</v>
      </c>
      <c r="K484" s="6">
        <f t="shared" ca="1" si="70"/>
        <v>0.19000000000000003</v>
      </c>
      <c r="L484" s="4" t="str" cm="1">
        <f t="array" aca="1" ref="L48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484" s="8">
        <f t="shared" ca="1" si="71"/>
        <v>13214</v>
      </c>
      <c r="N484" s="4" t="str" cm="1">
        <f t="array" aca="1" ref="N484" ca="1">INDEX({"New";"Repeat"}, RANDBETWEEN(1,2))</f>
        <v>New</v>
      </c>
      <c r="O484" s="4" t="str" cm="1">
        <f t="array" aca="1" ref="O484" ca="1">INDEX({"Loan";"Cash";"Lease"}, RANDBETWEEN(1,3))</f>
        <v>Loan</v>
      </c>
    </row>
    <row r="485" spans="1:15" x14ac:dyDescent="0.2">
      <c r="A485" s="4">
        <v>483</v>
      </c>
      <c r="B485" s="5">
        <f t="shared" ca="1" si="63"/>
        <v>45639</v>
      </c>
      <c r="C485" s="4" t="str" cm="1">
        <f t="array" aca="1" ref="C485" ca="1">INDEX({"Cochin";"Delhi";"Mumbai";"Pune";"Bengaluru"}, RANDBETWEEN(1,5))</f>
        <v>Bengaluru</v>
      </c>
      <c r="D485" s="4" t="str" cm="1">
        <f t="array" aca="1" ref="D485" ca="1">INDEX({"C-Class";"E-Class";"S-Class";"GLA";"GLC";"GLE";"GLS";"EQB"}, RANDBETWEEN(1,8))</f>
        <v>GLS</v>
      </c>
      <c r="E485" s="4" t="str">
        <f t="shared" ca="1" si="64"/>
        <v>SUV</v>
      </c>
      <c r="F485" s="4">
        <f t="shared" ca="1" si="65"/>
        <v>5</v>
      </c>
      <c r="G485" s="8">
        <f t="shared" ca="1" si="66"/>
        <v>16899990</v>
      </c>
      <c r="H485" s="8">
        <f t="shared" ca="1" si="67"/>
        <v>84499950</v>
      </c>
      <c r="I485" s="8">
        <f t="shared" ca="1" si="68"/>
        <v>69289959</v>
      </c>
      <c r="J485" s="8">
        <f t="shared" ca="1" si="69"/>
        <v>15209991</v>
      </c>
      <c r="K485" s="6">
        <f t="shared" ca="1" si="70"/>
        <v>0.18</v>
      </c>
      <c r="L485" s="4" t="str" cm="1">
        <f t="array" aca="1" ref="L48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485" s="8">
        <f t="shared" ca="1" si="71"/>
        <v>22395</v>
      </c>
      <c r="N485" s="4" t="str" cm="1">
        <f t="array" aca="1" ref="N485" ca="1">INDEX({"New";"Repeat"}, RANDBETWEEN(1,2))</f>
        <v>New</v>
      </c>
      <c r="O485" s="4" t="str" cm="1">
        <f t="array" aca="1" ref="O485" ca="1">INDEX({"Loan";"Cash";"Lease"}, RANDBETWEEN(1,3))</f>
        <v>Lease</v>
      </c>
    </row>
    <row r="486" spans="1:15" x14ac:dyDescent="0.2">
      <c r="A486" s="4">
        <v>484</v>
      </c>
      <c r="B486" s="5">
        <f t="shared" ca="1" si="63"/>
        <v>45703</v>
      </c>
      <c r="C486" s="4" t="str" cm="1">
        <f t="array" aca="1" ref="C486" ca="1">INDEX({"Cochin";"Delhi";"Mumbai";"Pune";"Bengaluru"}, RANDBETWEEN(1,5))</f>
        <v>Pune</v>
      </c>
      <c r="D486" s="4" t="str" cm="1">
        <f t="array" aca="1" ref="D486" ca="1">INDEX({"C-Class";"E-Class";"S-Class";"GLA";"GLC";"GLE";"GLS";"EQB"}, RANDBETWEEN(1,8))</f>
        <v>GLE</v>
      </c>
      <c r="E486" s="4" t="str">
        <f t="shared" ca="1" si="64"/>
        <v>SUV</v>
      </c>
      <c r="F486" s="4">
        <f t="shared" ca="1" si="65"/>
        <v>5</v>
      </c>
      <c r="G486" s="8">
        <f t="shared" ca="1" si="66"/>
        <v>11104209</v>
      </c>
      <c r="H486" s="8">
        <f t="shared" ca="1" si="67"/>
        <v>55521045</v>
      </c>
      <c r="I486" s="8">
        <f t="shared" ca="1" si="68"/>
        <v>38864731.5</v>
      </c>
      <c r="J486" s="8">
        <f t="shared" ca="1" si="69"/>
        <v>16656313.5</v>
      </c>
      <c r="K486" s="6">
        <f t="shared" ca="1" si="70"/>
        <v>0.3</v>
      </c>
      <c r="L486" s="4" t="str" cm="1">
        <f t="array" aca="1" ref="L48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486" s="8">
        <f t="shared" ca="1" si="71"/>
        <v>10716</v>
      </c>
      <c r="N486" s="4" t="str" cm="1">
        <f t="array" aca="1" ref="N486" ca="1">INDEX({"New";"Repeat"}, RANDBETWEEN(1,2))</f>
        <v>New</v>
      </c>
      <c r="O486" s="4" t="str" cm="1">
        <f t="array" aca="1" ref="O486" ca="1">INDEX({"Loan";"Cash";"Lease"}, RANDBETWEEN(1,3))</f>
        <v>Lease</v>
      </c>
    </row>
    <row r="487" spans="1:15" x14ac:dyDescent="0.2">
      <c r="A487" s="4">
        <v>485</v>
      </c>
      <c r="B487" s="5">
        <f t="shared" ca="1" si="63"/>
        <v>45607</v>
      </c>
      <c r="C487" s="4" t="str" cm="1">
        <f t="array" aca="1" ref="C487" ca="1">INDEX({"Cochin";"Delhi";"Mumbai";"Pune";"Bengaluru"}, RANDBETWEEN(1,5))</f>
        <v>Pune</v>
      </c>
      <c r="D487" s="4" t="str" cm="1">
        <f t="array" aca="1" ref="D487" ca="1">INDEX({"C-Class";"E-Class";"S-Class";"GLA";"GLC";"GLE";"GLS";"EQB"}, RANDBETWEEN(1,8))</f>
        <v>EQB</v>
      </c>
      <c r="E487" s="4" t="str">
        <f t="shared" ca="1" si="64"/>
        <v>EV</v>
      </c>
      <c r="F487" s="4">
        <f t="shared" ca="1" si="65"/>
        <v>4</v>
      </c>
      <c r="G487" s="8">
        <f t="shared" ca="1" si="66"/>
        <v>7104043</v>
      </c>
      <c r="H487" s="8">
        <f t="shared" ca="1" si="67"/>
        <v>28416172</v>
      </c>
      <c r="I487" s="8">
        <f t="shared" ca="1" si="68"/>
        <v>22732937.600000001</v>
      </c>
      <c r="J487" s="8">
        <f t="shared" ca="1" si="69"/>
        <v>5683234.3999999985</v>
      </c>
      <c r="K487" s="6">
        <f t="shared" ca="1" si="70"/>
        <v>0.19999999999999996</v>
      </c>
      <c r="L487" s="4" t="str" cm="1">
        <f t="array" aca="1" ref="L487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87" s="8">
        <f t="shared" ca="1" si="71"/>
        <v>11946</v>
      </c>
      <c r="N487" s="4" t="str" cm="1">
        <f t="array" aca="1" ref="N487" ca="1">INDEX({"New";"Repeat"}, RANDBETWEEN(1,2))</f>
        <v>New</v>
      </c>
      <c r="O487" s="4" t="str" cm="1">
        <f t="array" aca="1" ref="O487" ca="1">INDEX({"Loan";"Cash";"Lease"}, RANDBETWEEN(1,3))</f>
        <v>Loan</v>
      </c>
    </row>
    <row r="488" spans="1:15" x14ac:dyDescent="0.2">
      <c r="A488" s="4">
        <v>486</v>
      </c>
      <c r="B488" s="5">
        <f t="shared" ca="1" si="63"/>
        <v>44972</v>
      </c>
      <c r="C488" s="4" t="str" cm="1">
        <f t="array" aca="1" ref="C488" ca="1">INDEX({"Cochin";"Delhi";"Mumbai";"Pune";"Bengaluru"}, RANDBETWEEN(1,5))</f>
        <v>Bengaluru</v>
      </c>
      <c r="D488" s="4" t="str" cm="1">
        <f t="array" aca="1" ref="D488" ca="1">INDEX({"C-Class";"E-Class";"S-Class";"GLA";"GLC";"GLE";"GLS";"EQB"}, RANDBETWEEN(1,8))</f>
        <v>EQB</v>
      </c>
      <c r="E488" s="4" t="str">
        <f t="shared" ca="1" si="64"/>
        <v>EV</v>
      </c>
      <c r="F488" s="4">
        <f t="shared" ca="1" si="65"/>
        <v>5</v>
      </c>
      <c r="G488" s="8">
        <f t="shared" ca="1" si="66"/>
        <v>7880467</v>
      </c>
      <c r="H488" s="8">
        <f t="shared" ca="1" si="67"/>
        <v>39402335</v>
      </c>
      <c r="I488" s="8">
        <f t="shared" ca="1" si="68"/>
        <v>29551751.25</v>
      </c>
      <c r="J488" s="8">
        <f t="shared" ca="1" si="69"/>
        <v>9850583.75</v>
      </c>
      <c r="K488" s="6">
        <f t="shared" ca="1" si="70"/>
        <v>0.25</v>
      </c>
      <c r="L488" s="4" t="str" cm="1">
        <f t="array" aca="1" ref="L48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88" s="8">
        <f t="shared" ca="1" si="71"/>
        <v>3366</v>
      </c>
      <c r="N488" s="4" t="str" cm="1">
        <f t="array" aca="1" ref="N488" ca="1">INDEX({"New";"Repeat"}, RANDBETWEEN(1,2))</f>
        <v>Repeat</v>
      </c>
      <c r="O488" s="4" t="str" cm="1">
        <f t="array" aca="1" ref="O488" ca="1">INDEX({"Loan";"Cash";"Lease"}, RANDBETWEEN(1,3))</f>
        <v>Cash</v>
      </c>
    </row>
    <row r="489" spans="1:15" x14ac:dyDescent="0.2">
      <c r="A489" s="4">
        <v>487</v>
      </c>
      <c r="B489" s="5">
        <f t="shared" ca="1" si="63"/>
        <v>45097</v>
      </c>
      <c r="C489" s="4" t="str" cm="1">
        <f t="array" aca="1" ref="C489" ca="1">INDEX({"Cochin";"Delhi";"Mumbai";"Pune";"Bengaluru"}, RANDBETWEEN(1,5))</f>
        <v>Delhi</v>
      </c>
      <c r="D489" s="4" t="str" cm="1">
        <f t="array" aca="1" ref="D489" ca="1">INDEX({"C-Class";"E-Class";"S-Class";"GLA";"GLC";"GLE";"GLS";"EQB"}, RANDBETWEEN(1,8))</f>
        <v>C-Class</v>
      </c>
      <c r="E489" s="4" t="str">
        <f t="shared" ca="1" si="64"/>
        <v>Sedan</v>
      </c>
      <c r="F489" s="4">
        <f t="shared" ca="1" si="65"/>
        <v>4</v>
      </c>
      <c r="G489" s="8">
        <f t="shared" ca="1" si="66"/>
        <v>5784400</v>
      </c>
      <c r="H489" s="8">
        <f t="shared" ca="1" si="67"/>
        <v>23137600</v>
      </c>
      <c r="I489" s="8">
        <f t="shared" ca="1" si="68"/>
        <v>18047328</v>
      </c>
      <c r="J489" s="8">
        <f t="shared" ca="1" si="69"/>
        <v>5090272</v>
      </c>
      <c r="K489" s="6">
        <f t="shared" ca="1" si="70"/>
        <v>0.22</v>
      </c>
      <c r="L489" s="4" t="str" cm="1">
        <f t="array" aca="1" ref="L48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489" s="8">
        <f t="shared" ca="1" si="71"/>
        <v>22413</v>
      </c>
      <c r="N489" s="4" t="str" cm="1">
        <f t="array" aca="1" ref="N489" ca="1">INDEX({"New";"Repeat"}, RANDBETWEEN(1,2))</f>
        <v>New</v>
      </c>
      <c r="O489" s="4" t="str" cm="1">
        <f t="array" aca="1" ref="O489" ca="1">INDEX({"Loan";"Cash";"Lease"}, RANDBETWEEN(1,3))</f>
        <v>Cash</v>
      </c>
    </row>
    <row r="490" spans="1:15" x14ac:dyDescent="0.2">
      <c r="A490" s="4">
        <v>488</v>
      </c>
      <c r="B490" s="5">
        <f t="shared" ca="1" si="63"/>
        <v>45290</v>
      </c>
      <c r="C490" s="4" t="str" cm="1">
        <f t="array" aca="1" ref="C490" ca="1">INDEX({"Cochin";"Delhi";"Mumbai";"Pune";"Bengaluru"}, RANDBETWEEN(1,5))</f>
        <v>Pune</v>
      </c>
      <c r="D490" s="4" t="str" cm="1">
        <f t="array" aca="1" ref="D490" ca="1">INDEX({"C-Class";"E-Class";"S-Class";"GLA";"GLC";"GLE";"GLS";"EQB"}, RANDBETWEEN(1,8))</f>
        <v>GLC</v>
      </c>
      <c r="E490" s="4" t="str">
        <f t="shared" ca="1" si="64"/>
        <v>SUV</v>
      </c>
      <c r="F490" s="4">
        <f t="shared" ca="1" si="65"/>
        <v>5</v>
      </c>
      <c r="G490" s="8">
        <f t="shared" ca="1" si="66"/>
        <v>7110183</v>
      </c>
      <c r="H490" s="8">
        <f t="shared" ca="1" si="67"/>
        <v>35550915</v>
      </c>
      <c r="I490" s="8">
        <f t="shared" ca="1" si="68"/>
        <v>29507259.449999999</v>
      </c>
      <c r="J490" s="8">
        <f t="shared" ca="1" si="69"/>
        <v>6043655.5500000007</v>
      </c>
      <c r="K490" s="6">
        <f t="shared" ca="1" si="70"/>
        <v>0.17</v>
      </c>
      <c r="L490" s="4" t="str" cm="1">
        <f t="array" aca="1" ref="L49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490" s="8">
        <f t="shared" ca="1" si="71"/>
        <v>7977</v>
      </c>
      <c r="N490" s="4" t="str" cm="1">
        <f t="array" aca="1" ref="N490" ca="1">INDEX({"New";"Repeat"}, RANDBETWEEN(1,2))</f>
        <v>Repeat</v>
      </c>
      <c r="O490" s="4" t="str" cm="1">
        <f t="array" aca="1" ref="O490" ca="1">INDEX({"Loan";"Cash";"Lease"}, RANDBETWEEN(1,3))</f>
        <v>Lease</v>
      </c>
    </row>
    <row r="491" spans="1:15" x14ac:dyDescent="0.2">
      <c r="A491" s="4">
        <v>489</v>
      </c>
      <c r="B491" s="5">
        <f t="shared" ca="1" si="63"/>
        <v>45724</v>
      </c>
      <c r="C491" s="4" t="str" cm="1">
        <f t="array" aca="1" ref="C491" ca="1">INDEX({"Cochin";"Delhi";"Mumbai";"Pune";"Bengaluru"}, RANDBETWEEN(1,5))</f>
        <v>Mumbai</v>
      </c>
      <c r="D491" s="4" t="str" cm="1">
        <f t="array" aca="1" ref="D491" ca="1">INDEX({"C-Class";"E-Class";"S-Class";"GLA";"GLC";"GLE";"GLS";"EQB"}, RANDBETWEEN(1,8))</f>
        <v>GLA</v>
      </c>
      <c r="E491" s="4" t="str">
        <f t="shared" ca="1" si="64"/>
        <v>SUV</v>
      </c>
      <c r="F491" s="4">
        <f t="shared" ca="1" si="65"/>
        <v>1</v>
      </c>
      <c r="G491" s="8">
        <f t="shared" ca="1" si="66"/>
        <v>5140253</v>
      </c>
      <c r="H491" s="8">
        <f t="shared" ca="1" si="67"/>
        <v>5140253</v>
      </c>
      <c r="I491" s="8">
        <f t="shared" ca="1" si="68"/>
        <v>3906592.28</v>
      </c>
      <c r="J491" s="8">
        <f t="shared" ca="1" si="69"/>
        <v>1233660.7200000002</v>
      </c>
      <c r="K491" s="6">
        <f t="shared" ca="1" si="70"/>
        <v>0.24000000000000005</v>
      </c>
      <c r="L491" s="4" t="str" cm="1">
        <f t="array" aca="1" ref="L49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491" s="8">
        <f t="shared" ca="1" si="71"/>
        <v>7986</v>
      </c>
      <c r="N491" s="4" t="str" cm="1">
        <f t="array" aca="1" ref="N491" ca="1">INDEX({"New";"Repeat"}, RANDBETWEEN(1,2))</f>
        <v>Repeat</v>
      </c>
      <c r="O491" s="4" t="str" cm="1">
        <f t="array" aca="1" ref="O491" ca="1">INDEX({"Loan";"Cash";"Lease"}, RANDBETWEEN(1,3))</f>
        <v>Lease</v>
      </c>
    </row>
    <row r="492" spans="1:15" x14ac:dyDescent="0.2">
      <c r="A492" s="4">
        <v>490</v>
      </c>
      <c r="B492" s="5">
        <f t="shared" ca="1" si="63"/>
        <v>45865</v>
      </c>
      <c r="C492" s="4" t="str" cm="1">
        <f t="array" aca="1" ref="C492" ca="1">INDEX({"Cochin";"Delhi";"Mumbai";"Pune";"Bengaluru"}, RANDBETWEEN(1,5))</f>
        <v>Cochin</v>
      </c>
      <c r="D492" s="4" t="str" cm="1">
        <f t="array" aca="1" ref="D492" ca="1">INDEX({"C-Class";"E-Class";"S-Class";"GLA";"GLC";"GLE";"GLS";"EQB"}, RANDBETWEEN(1,8))</f>
        <v>S-Class</v>
      </c>
      <c r="E492" s="4" t="str">
        <f t="shared" ca="1" si="64"/>
        <v>Sedan</v>
      </c>
      <c r="F492" s="4">
        <f t="shared" ca="1" si="65"/>
        <v>4</v>
      </c>
      <c r="G492" s="8">
        <f t="shared" ca="1" si="66"/>
        <v>15032490</v>
      </c>
      <c r="H492" s="8">
        <f t="shared" ca="1" si="67"/>
        <v>60129960</v>
      </c>
      <c r="I492" s="8">
        <f t="shared" ca="1" si="68"/>
        <v>44496170.399999999</v>
      </c>
      <c r="J492" s="8">
        <f t="shared" ca="1" si="69"/>
        <v>15633789.600000001</v>
      </c>
      <c r="K492" s="6">
        <f t="shared" ca="1" si="70"/>
        <v>0.26</v>
      </c>
      <c r="L492" s="4" t="str" cm="1">
        <f t="array" aca="1" ref="L49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492" s="8">
        <f t="shared" ca="1" si="71"/>
        <v>17095</v>
      </c>
      <c r="N492" s="4" t="str" cm="1">
        <f t="array" aca="1" ref="N492" ca="1">INDEX({"New";"Repeat"}, RANDBETWEEN(1,2))</f>
        <v>New</v>
      </c>
      <c r="O492" s="4" t="str" cm="1">
        <f t="array" aca="1" ref="O492" ca="1">INDEX({"Loan";"Cash";"Lease"}, RANDBETWEEN(1,3))</f>
        <v>Loan</v>
      </c>
    </row>
    <row r="493" spans="1:15" x14ac:dyDescent="0.2">
      <c r="A493" s="4">
        <v>491</v>
      </c>
      <c r="B493" s="5">
        <f t="shared" ca="1" si="63"/>
        <v>45354</v>
      </c>
      <c r="C493" s="4" t="str" cm="1">
        <f t="array" aca="1" ref="C493" ca="1">INDEX({"Cochin";"Delhi";"Mumbai";"Pune";"Bengaluru"}, RANDBETWEEN(1,5))</f>
        <v>Mumbai</v>
      </c>
      <c r="D493" s="4" t="str" cm="1">
        <f t="array" aca="1" ref="D493" ca="1">INDEX({"C-Class";"E-Class";"S-Class";"GLA";"GLC";"GLE";"GLS";"EQB"}, RANDBETWEEN(1,8))</f>
        <v>GLC</v>
      </c>
      <c r="E493" s="4" t="str">
        <f t="shared" ca="1" si="64"/>
        <v>SUV</v>
      </c>
      <c r="F493" s="4">
        <f t="shared" ca="1" si="65"/>
        <v>4</v>
      </c>
      <c r="G493" s="8">
        <f t="shared" ca="1" si="66"/>
        <v>7245345</v>
      </c>
      <c r="H493" s="8">
        <f t="shared" ca="1" si="67"/>
        <v>28981380</v>
      </c>
      <c r="I493" s="8">
        <f t="shared" ca="1" si="68"/>
        <v>24054545.399999999</v>
      </c>
      <c r="J493" s="8">
        <f t="shared" ca="1" si="69"/>
        <v>4926834.6000000015</v>
      </c>
      <c r="K493" s="6">
        <f t="shared" ca="1" si="70"/>
        <v>0.17000000000000004</v>
      </c>
      <c r="L493" s="4" t="str" cm="1">
        <f t="array" aca="1" ref="L49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93" s="8">
        <f t="shared" ca="1" si="71"/>
        <v>7360</v>
      </c>
      <c r="N493" s="4" t="str" cm="1">
        <f t="array" aca="1" ref="N493" ca="1">INDEX({"New";"Repeat"}, RANDBETWEEN(1,2))</f>
        <v>Repeat</v>
      </c>
      <c r="O493" s="4" t="str" cm="1">
        <f t="array" aca="1" ref="O493" ca="1">INDEX({"Loan";"Cash";"Lease"}, RANDBETWEEN(1,3))</f>
        <v>Loan</v>
      </c>
    </row>
    <row r="494" spans="1:15" x14ac:dyDescent="0.2">
      <c r="A494" s="4">
        <v>492</v>
      </c>
      <c r="B494" s="5">
        <f t="shared" ca="1" si="63"/>
        <v>45306</v>
      </c>
      <c r="C494" s="4" t="str" cm="1">
        <f t="array" aca="1" ref="C494" ca="1">INDEX({"Cochin";"Delhi";"Mumbai";"Pune";"Bengaluru"}, RANDBETWEEN(1,5))</f>
        <v>Bengaluru</v>
      </c>
      <c r="D494" s="4" t="str" cm="1">
        <f t="array" aca="1" ref="D494" ca="1">INDEX({"C-Class";"E-Class";"S-Class";"GLA";"GLC";"GLE";"GLS";"EQB"}, RANDBETWEEN(1,8))</f>
        <v>GLS</v>
      </c>
      <c r="E494" s="4" t="str">
        <f t="shared" ca="1" si="64"/>
        <v>SUV</v>
      </c>
      <c r="F494" s="4">
        <f t="shared" ca="1" si="65"/>
        <v>2</v>
      </c>
      <c r="G494" s="8">
        <f t="shared" ca="1" si="66"/>
        <v>14248887</v>
      </c>
      <c r="H494" s="8">
        <f t="shared" ca="1" si="67"/>
        <v>28497774</v>
      </c>
      <c r="I494" s="8">
        <f t="shared" ca="1" si="68"/>
        <v>24223107.899999999</v>
      </c>
      <c r="J494" s="8">
        <f t="shared" ca="1" si="69"/>
        <v>4274666.1000000015</v>
      </c>
      <c r="K494" s="6">
        <f t="shared" ca="1" si="70"/>
        <v>0.15000000000000005</v>
      </c>
      <c r="L494" s="4" t="str" cm="1">
        <f t="array" aca="1" ref="L49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494" s="8">
        <f t="shared" ca="1" si="71"/>
        <v>18112</v>
      </c>
      <c r="N494" s="4" t="str" cm="1">
        <f t="array" aca="1" ref="N494" ca="1">INDEX({"New";"Repeat"}, RANDBETWEEN(1,2))</f>
        <v>New</v>
      </c>
      <c r="O494" s="4" t="str" cm="1">
        <f t="array" aca="1" ref="O494" ca="1">INDEX({"Loan";"Cash";"Lease"}, RANDBETWEEN(1,3))</f>
        <v>Lease</v>
      </c>
    </row>
    <row r="495" spans="1:15" x14ac:dyDescent="0.2">
      <c r="A495" s="4">
        <v>493</v>
      </c>
      <c r="B495" s="5">
        <f t="shared" ca="1" si="63"/>
        <v>45345</v>
      </c>
      <c r="C495" s="4" t="str" cm="1">
        <f t="array" aca="1" ref="C495" ca="1">INDEX({"Cochin";"Delhi";"Mumbai";"Pune";"Bengaluru"}, RANDBETWEEN(1,5))</f>
        <v>Bengaluru</v>
      </c>
      <c r="D495" s="4" t="str" cm="1">
        <f t="array" aca="1" ref="D495" ca="1">INDEX({"C-Class";"E-Class";"S-Class";"GLA";"GLC";"GLE";"GLS";"EQB"}, RANDBETWEEN(1,8))</f>
        <v>EQB</v>
      </c>
      <c r="E495" s="4" t="str">
        <f t="shared" ca="1" si="64"/>
        <v>EV</v>
      </c>
      <c r="F495" s="4">
        <f t="shared" ca="1" si="65"/>
        <v>1</v>
      </c>
      <c r="G495" s="8">
        <f t="shared" ca="1" si="66"/>
        <v>7392654</v>
      </c>
      <c r="H495" s="8">
        <f t="shared" ca="1" si="67"/>
        <v>7392654</v>
      </c>
      <c r="I495" s="8">
        <f t="shared" ca="1" si="68"/>
        <v>5248784.34</v>
      </c>
      <c r="J495" s="8">
        <f t="shared" ca="1" si="69"/>
        <v>2143869.66</v>
      </c>
      <c r="K495" s="6">
        <f t="shared" ca="1" si="70"/>
        <v>0.29000000000000004</v>
      </c>
      <c r="L495" s="4" t="str" cm="1">
        <f t="array" aca="1" ref="L49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495" s="8">
        <f t="shared" ca="1" si="71"/>
        <v>23632</v>
      </c>
      <c r="N495" s="4" t="str" cm="1">
        <f t="array" aca="1" ref="N495" ca="1">INDEX({"New";"Repeat"}, RANDBETWEEN(1,2))</f>
        <v>New</v>
      </c>
      <c r="O495" s="4" t="str" cm="1">
        <f t="array" aca="1" ref="O495" ca="1">INDEX({"Loan";"Cash";"Lease"}, RANDBETWEEN(1,3))</f>
        <v>Lease</v>
      </c>
    </row>
    <row r="496" spans="1:15" x14ac:dyDescent="0.2">
      <c r="A496" s="4">
        <v>494</v>
      </c>
      <c r="B496" s="5">
        <f t="shared" ca="1" si="63"/>
        <v>45515</v>
      </c>
      <c r="C496" s="4" t="str" cm="1">
        <f t="array" aca="1" ref="C496" ca="1">INDEX({"Cochin";"Delhi";"Mumbai";"Pune";"Bengaluru"}, RANDBETWEEN(1,5))</f>
        <v>Bengaluru</v>
      </c>
      <c r="D496" s="4" t="str" cm="1">
        <f t="array" aca="1" ref="D496" ca="1">INDEX({"C-Class";"E-Class";"S-Class";"GLA";"GLC";"GLE";"GLS";"EQB"}, RANDBETWEEN(1,8))</f>
        <v>S-Class</v>
      </c>
      <c r="E496" s="4" t="str">
        <f t="shared" ca="1" si="64"/>
        <v>Sedan</v>
      </c>
      <c r="F496" s="4">
        <f t="shared" ca="1" si="65"/>
        <v>4</v>
      </c>
      <c r="G496" s="8">
        <f t="shared" ca="1" si="66"/>
        <v>23498885</v>
      </c>
      <c r="H496" s="8">
        <f t="shared" ca="1" si="67"/>
        <v>93995540</v>
      </c>
      <c r="I496" s="8">
        <f t="shared" ca="1" si="68"/>
        <v>78956253.599999994</v>
      </c>
      <c r="J496" s="8">
        <f t="shared" ca="1" si="69"/>
        <v>15039286.400000006</v>
      </c>
      <c r="K496" s="6">
        <f t="shared" ca="1" si="70"/>
        <v>0.16000000000000006</v>
      </c>
      <c r="L496" s="4" t="str" cm="1">
        <f t="array" aca="1" ref="L49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96" s="8">
        <f t="shared" ca="1" si="71"/>
        <v>20028</v>
      </c>
      <c r="N496" s="4" t="str" cm="1">
        <f t="array" aca="1" ref="N496" ca="1">INDEX({"New";"Repeat"}, RANDBETWEEN(1,2))</f>
        <v>New</v>
      </c>
      <c r="O496" s="4" t="str" cm="1">
        <f t="array" aca="1" ref="O496" ca="1">INDEX({"Loan";"Cash";"Lease"}, RANDBETWEEN(1,3))</f>
        <v>Cash</v>
      </c>
    </row>
    <row r="497" spans="1:15" x14ac:dyDescent="0.2">
      <c r="A497" s="4">
        <v>495</v>
      </c>
      <c r="B497" s="5">
        <f t="shared" ca="1" si="63"/>
        <v>45339</v>
      </c>
      <c r="C497" s="4" t="str" cm="1">
        <f t="array" aca="1" ref="C497" ca="1">INDEX({"Cochin";"Delhi";"Mumbai";"Pune";"Bengaluru"}, RANDBETWEEN(1,5))</f>
        <v>Bengaluru</v>
      </c>
      <c r="D497" s="4" t="str" cm="1">
        <f t="array" aca="1" ref="D497" ca="1">INDEX({"C-Class";"E-Class";"S-Class";"GLA";"GLC";"GLE";"GLS";"EQB"}, RANDBETWEEN(1,8))</f>
        <v>E-Class</v>
      </c>
      <c r="E497" s="4" t="str">
        <f t="shared" ca="1" si="64"/>
        <v>Sedan</v>
      </c>
      <c r="F497" s="4">
        <f t="shared" ca="1" si="65"/>
        <v>4</v>
      </c>
      <c r="G497" s="8">
        <f t="shared" ca="1" si="66"/>
        <v>9058670</v>
      </c>
      <c r="H497" s="8">
        <f t="shared" ca="1" si="67"/>
        <v>36234680</v>
      </c>
      <c r="I497" s="8">
        <f t="shared" ca="1" si="68"/>
        <v>26813663.199999999</v>
      </c>
      <c r="J497" s="8">
        <f t="shared" ca="1" si="69"/>
        <v>9421016.8000000007</v>
      </c>
      <c r="K497" s="6">
        <f t="shared" ca="1" si="70"/>
        <v>0.26</v>
      </c>
      <c r="L497" s="4" t="str" cm="1">
        <f t="array" aca="1" ref="L49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497" s="8">
        <f t="shared" ca="1" si="71"/>
        <v>6921</v>
      </c>
      <c r="N497" s="4" t="str" cm="1">
        <f t="array" aca="1" ref="N497" ca="1">INDEX({"New";"Repeat"}, RANDBETWEEN(1,2))</f>
        <v>Repeat</v>
      </c>
      <c r="O497" s="4" t="str" cm="1">
        <f t="array" aca="1" ref="O497" ca="1">INDEX({"Loan";"Cash";"Lease"}, RANDBETWEEN(1,3))</f>
        <v>Lease</v>
      </c>
    </row>
    <row r="498" spans="1:15" x14ac:dyDescent="0.2">
      <c r="A498" s="4">
        <v>496</v>
      </c>
      <c r="B498" s="5">
        <f t="shared" ca="1" si="63"/>
        <v>45311</v>
      </c>
      <c r="C498" s="4" t="str" cm="1">
        <f t="array" aca="1" ref="C498" ca="1">INDEX({"Cochin";"Delhi";"Mumbai";"Pune";"Bengaluru"}, RANDBETWEEN(1,5))</f>
        <v>Mumbai</v>
      </c>
      <c r="D498" s="4" t="str" cm="1">
        <f t="array" aca="1" ref="D498" ca="1">INDEX({"C-Class";"E-Class";"S-Class";"GLA";"GLC";"GLE";"GLS";"EQB"}, RANDBETWEEN(1,8))</f>
        <v>GLE</v>
      </c>
      <c r="E498" s="4" t="str">
        <f t="shared" ca="1" si="64"/>
        <v>SUV</v>
      </c>
      <c r="F498" s="4">
        <f t="shared" ca="1" si="65"/>
        <v>2</v>
      </c>
      <c r="G498" s="8">
        <f t="shared" ca="1" si="66"/>
        <v>9776594</v>
      </c>
      <c r="H498" s="8">
        <f t="shared" ca="1" si="67"/>
        <v>19553188</v>
      </c>
      <c r="I498" s="8">
        <f t="shared" ca="1" si="68"/>
        <v>13687231.6</v>
      </c>
      <c r="J498" s="8">
        <f t="shared" ca="1" si="69"/>
        <v>5865956.4000000004</v>
      </c>
      <c r="K498" s="6">
        <f t="shared" ca="1" si="70"/>
        <v>0.30000000000000004</v>
      </c>
      <c r="L498" s="4" t="str" cm="1">
        <f t="array" aca="1" ref="L49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498" s="8">
        <f t="shared" ca="1" si="71"/>
        <v>6388</v>
      </c>
      <c r="N498" s="4" t="str" cm="1">
        <f t="array" aca="1" ref="N498" ca="1">INDEX({"New";"Repeat"}, RANDBETWEEN(1,2))</f>
        <v>Repeat</v>
      </c>
      <c r="O498" s="4" t="str" cm="1">
        <f t="array" aca="1" ref="O498" ca="1">INDEX({"Loan";"Cash";"Lease"}, RANDBETWEEN(1,3))</f>
        <v>Cash</v>
      </c>
    </row>
    <row r="499" spans="1:15" x14ac:dyDescent="0.2">
      <c r="A499" s="4">
        <v>497</v>
      </c>
      <c r="B499" s="5">
        <f t="shared" ca="1" si="63"/>
        <v>45353</v>
      </c>
      <c r="C499" s="4" t="str" cm="1">
        <f t="array" aca="1" ref="C499" ca="1">INDEX({"Cochin";"Delhi";"Mumbai";"Pune";"Bengaluru"}, RANDBETWEEN(1,5))</f>
        <v>Bengaluru</v>
      </c>
      <c r="D499" s="4" t="str" cm="1">
        <f t="array" aca="1" ref="D499" ca="1">INDEX({"C-Class";"E-Class";"S-Class";"GLA";"GLC";"GLE";"GLS";"EQB"}, RANDBETWEEN(1,8))</f>
        <v>C-Class</v>
      </c>
      <c r="E499" s="4" t="str">
        <f t="shared" ca="1" si="64"/>
        <v>Sedan</v>
      </c>
      <c r="F499" s="4">
        <f t="shared" ca="1" si="65"/>
        <v>1</v>
      </c>
      <c r="G499" s="8">
        <f t="shared" ca="1" si="66"/>
        <v>5832627</v>
      </c>
      <c r="H499" s="8">
        <f t="shared" ca="1" si="67"/>
        <v>5832627</v>
      </c>
      <c r="I499" s="8">
        <f t="shared" ca="1" si="68"/>
        <v>4724427.87</v>
      </c>
      <c r="J499" s="8">
        <f t="shared" ca="1" si="69"/>
        <v>1108199.1299999999</v>
      </c>
      <c r="K499" s="6">
        <f t="shared" ca="1" si="70"/>
        <v>0.18999999999999997</v>
      </c>
      <c r="L499" s="4" t="str" cm="1">
        <f t="array" aca="1" ref="L499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499" s="8">
        <f t="shared" ca="1" si="71"/>
        <v>5400</v>
      </c>
      <c r="N499" s="4" t="str" cm="1">
        <f t="array" aca="1" ref="N499" ca="1">INDEX({"New";"Repeat"}, RANDBETWEEN(1,2))</f>
        <v>Repeat</v>
      </c>
      <c r="O499" s="4" t="str" cm="1">
        <f t="array" aca="1" ref="O499" ca="1">INDEX({"Loan";"Cash";"Lease"}, RANDBETWEEN(1,3))</f>
        <v>Loan</v>
      </c>
    </row>
    <row r="500" spans="1:15" x14ac:dyDescent="0.2">
      <c r="A500" s="4">
        <v>498</v>
      </c>
      <c r="B500" s="5">
        <f t="shared" ca="1" si="63"/>
        <v>45363</v>
      </c>
      <c r="C500" s="4" t="str" cm="1">
        <f t="array" aca="1" ref="C500" ca="1">INDEX({"Cochin";"Delhi";"Mumbai";"Pune";"Bengaluru"}, RANDBETWEEN(1,5))</f>
        <v>Cochin</v>
      </c>
      <c r="D500" s="4" t="str" cm="1">
        <f t="array" aca="1" ref="D500" ca="1">INDEX({"C-Class";"E-Class";"S-Class";"GLA";"GLC";"GLE";"GLS";"EQB"}, RANDBETWEEN(1,8))</f>
        <v>S-Class</v>
      </c>
      <c r="E500" s="4" t="str">
        <f t="shared" ca="1" si="64"/>
        <v>Sedan</v>
      </c>
      <c r="F500" s="4">
        <f t="shared" ca="1" si="65"/>
        <v>5</v>
      </c>
      <c r="G500" s="8">
        <f t="shared" ca="1" si="66"/>
        <v>17263698</v>
      </c>
      <c r="H500" s="8">
        <f t="shared" ca="1" si="67"/>
        <v>86318490</v>
      </c>
      <c r="I500" s="8">
        <f t="shared" ca="1" si="68"/>
        <v>73370716.5</v>
      </c>
      <c r="J500" s="8">
        <f t="shared" ca="1" si="69"/>
        <v>12947773.5</v>
      </c>
      <c r="K500" s="6">
        <f t="shared" ca="1" si="70"/>
        <v>0.15</v>
      </c>
      <c r="L500" s="4" t="str" cm="1">
        <f t="array" aca="1" ref="L50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00" s="8">
        <f t="shared" ca="1" si="71"/>
        <v>21285</v>
      </c>
      <c r="N500" s="4" t="str" cm="1">
        <f t="array" aca="1" ref="N500" ca="1">INDEX({"New";"Repeat"}, RANDBETWEEN(1,2))</f>
        <v>New</v>
      </c>
      <c r="O500" s="4" t="str" cm="1">
        <f t="array" aca="1" ref="O500" ca="1">INDEX({"Loan";"Cash";"Lease"}, RANDBETWEEN(1,3))</f>
        <v>Loan</v>
      </c>
    </row>
    <row r="501" spans="1:15" x14ac:dyDescent="0.2">
      <c r="A501" s="4">
        <v>499</v>
      </c>
      <c r="B501" s="5">
        <f t="shared" ca="1" si="63"/>
        <v>44928</v>
      </c>
      <c r="C501" s="4" t="str" cm="1">
        <f t="array" aca="1" ref="C501" ca="1">INDEX({"Cochin";"Delhi";"Mumbai";"Pune";"Bengaluru"}, RANDBETWEEN(1,5))</f>
        <v>Delhi</v>
      </c>
      <c r="D501" s="4" t="str" cm="1">
        <f t="array" aca="1" ref="D501" ca="1">INDEX({"C-Class";"E-Class";"S-Class";"GLA";"GLC";"GLE";"GLS";"EQB"}, RANDBETWEEN(1,8))</f>
        <v>S-Class</v>
      </c>
      <c r="E501" s="4" t="str">
        <f t="shared" ca="1" si="64"/>
        <v>Sedan</v>
      </c>
      <c r="F501" s="4">
        <f t="shared" ca="1" si="65"/>
        <v>4</v>
      </c>
      <c r="G501" s="8">
        <f t="shared" ca="1" si="66"/>
        <v>20902986</v>
      </c>
      <c r="H501" s="8">
        <f t="shared" ca="1" si="67"/>
        <v>83611944</v>
      </c>
      <c r="I501" s="8">
        <f t="shared" ca="1" si="68"/>
        <v>68561794.079999998</v>
      </c>
      <c r="J501" s="8">
        <f t="shared" ca="1" si="69"/>
        <v>15050149.920000002</v>
      </c>
      <c r="K501" s="6">
        <f t="shared" ca="1" si="70"/>
        <v>0.18000000000000002</v>
      </c>
      <c r="L501" s="4" t="str" cm="1">
        <f t="array" aca="1" ref="L50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01" s="8">
        <f t="shared" ca="1" si="71"/>
        <v>3458</v>
      </c>
      <c r="N501" s="4" t="str" cm="1">
        <f t="array" aca="1" ref="N501" ca="1">INDEX({"New";"Repeat"}, RANDBETWEEN(1,2))</f>
        <v>Repeat</v>
      </c>
      <c r="O501" s="4" t="str" cm="1">
        <f t="array" aca="1" ref="O501" ca="1">INDEX({"Loan";"Cash";"Lease"}, RANDBETWEEN(1,3))</f>
        <v>Cash</v>
      </c>
    </row>
    <row r="502" spans="1:15" x14ac:dyDescent="0.2">
      <c r="A502" s="4">
        <v>500</v>
      </c>
      <c r="B502" s="5">
        <f t="shared" ca="1" si="63"/>
        <v>45271</v>
      </c>
      <c r="C502" s="4" t="str" cm="1">
        <f t="array" aca="1" ref="C502" ca="1">INDEX({"Cochin";"Delhi";"Mumbai";"Pune";"Bengaluru"}, RANDBETWEEN(1,5))</f>
        <v>Pune</v>
      </c>
      <c r="D502" s="4" t="str" cm="1">
        <f t="array" aca="1" ref="D502" ca="1">INDEX({"C-Class";"E-Class";"S-Class";"GLA";"GLC";"GLE";"GLS";"EQB"}, RANDBETWEEN(1,8))</f>
        <v>S-Class</v>
      </c>
      <c r="E502" s="4" t="str">
        <f t="shared" ca="1" si="64"/>
        <v>Sedan</v>
      </c>
      <c r="F502" s="4">
        <f t="shared" ca="1" si="65"/>
        <v>1</v>
      </c>
      <c r="G502" s="8">
        <f t="shared" ca="1" si="66"/>
        <v>23529840</v>
      </c>
      <c r="H502" s="8">
        <f t="shared" ca="1" si="67"/>
        <v>23529840</v>
      </c>
      <c r="I502" s="8">
        <f t="shared" ca="1" si="68"/>
        <v>16706186.4</v>
      </c>
      <c r="J502" s="8">
        <f t="shared" ca="1" si="69"/>
        <v>6823653.5999999996</v>
      </c>
      <c r="K502" s="6">
        <f t="shared" ca="1" si="70"/>
        <v>0.28999999999999998</v>
      </c>
      <c r="L502" s="4" t="str" cm="1">
        <f t="array" aca="1" ref="L502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02" s="8">
        <f t="shared" ca="1" si="71"/>
        <v>4288</v>
      </c>
      <c r="N502" s="4" t="str" cm="1">
        <f t="array" aca="1" ref="N502" ca="1">INDEX({"New";"Repeat"}, RANDBETWEEN(1,2))</f>
        <v>Repeat</v>
      </c>
      <c r="O502" s="4" t="str" cm="1">
        <f t="array" aca="1" ref="O502" ca="1">INDEX({"Loan";"Cash";"Lease"}, RANDBETWEEN(1,3))</f>
        <v>Loan</v>
      </c>
    </row>
    <row r="503" spans="1:15" x14ac:dyDescent="0.2">
      <c r="A503" s="4">
        <v>501</v>
      </c>
      <c r="B503" s="5">
        <f t="shared" ca="1" si="63"/>
        <v>45719</v>
      </c>
      <c r="C503" s="4" t="str" cm="1">
        <f t="array" aca="1" ref="C503" ca="1">INDEX({"Cochin";"Delhi";"Mumbai";"Pune";"Bengaluru"}, RANDBETWEEN(1,5))</f>
        <v>Bengaluru</v>
      </c>
      <c r="D503" s="4" t="str" cm="1">
        <f t="array" aca="1" ref="D503" ca="1">INDEX({"C-Class";"E-Class";"S-Class";"GLA";"GLC";"GLE";"GLS";"EQB"}, RANDBETWEEN(1,8))</f>
        <v>GLE</v>
      </c>
      <c r="E503" s="4" t="str">
        <f t="shared" ca="1" si="64"/>
        <v>SUV</v>
      </c>
      <c r="F503" s="4">
        <f t="shared" ca="1" si="65"/>
        <v>1</v>
      </c>
      <c r="G503" s="8">
        <f t="shared" ca="1" si="66"/>
        <v>9897418</v>
      </c>
      <c r="H503" s="8">
        <f t="shared" ca="1" si="67"/>
        <v>9897418</v>
      </c>
      <c r="I503" s="8">
        <f t="shared" ca="1" si="68"/>
        <v>6928192.5999999996</v>
      </c>
      <c r="J503" s="8">
        <f t="shared" ca="1" si="69"/>
        <v>2969225.4000000004</v>
      </c>
      <c r="K503" s="6">
        <f t="shared" ca="1" si="70"/>
        <v>0.30000000000000004</v>
      </c>
      <c r="L503" s="4" t="str" cm="1">
        <f t="array" aca="1" ref="L50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03" s="8">
        <f t="shared" ca="1" si="71"/>
        <v>6388</v>
      </c>
      <c r="N503" s="4" t="str" cm="1">
        <f t="array" aca="1" ref="N503" ca="1">INDEX({"New";"Repeat"}, RANDBETWEEN(1,2))</f>
        <v>Repeat</v>
      </c>
      <c r="O503" s="4" t="str" cm="1">
        <f t="array" aca="1" ref="O503" ca="1">INDEX({"Loan";"Cash";"Lease"}, RANDBETWEEN(1,3))</f>
        <v>Lease</v>
      </c>
    </row>
    <row r="504" spans="1:15" x14ac:dyDescent="0.2">
      <c r="A504" s="4">
        <v>502</v>
      </c>
      <c r="B504" s="5">
        <f t="shared" ca="1" si="63"/>
        <v>45328</v>
      </c>
      <c r="C504" s="4" t="str" cm="1">
        <f t="array" aca="1" ref="C504" ca="1">INDEX({"Cochin";"Delhi";"Mumbai";"Pune";"Bengaluru"}, RANDBETWEEN(1,5))</f>
        <v>Delhi</v>
      </c>
      <c r="D504" s="4" t="str" cm="1">
        <f t="array" aca="1" ref="D504" ca="1">INDEX({"C-Class";"E-Class";"S-Class";"GLA";"GLC";"GLE";"GLS";"EQB"}, RANDBETWEEN(1,8))</f>
        <v>C-Class</v>
      </c>
      <c r="E504" s="4" t="str">
        <f t="shared" ca="1" si="64"/>
        <v>Sedan</v>
      </c>
      <c r="F504" s="4">
        <f t="shared" ca="1" si="65"/>
        <v>4</v>
      </c>
      <c r="G504" s="8">
        <f t="shared" ca="1" si="66"/>
        <v>5816888</v>
      </c>
      <c r="H504" s="8">
        <f t="shared" ca="1" si="67"/>
        <v>23267552</v>
      </c>
      <c r="I504" s="8">
        <f t="shared" ca="1" si="68"/>
        <v>19777419.199999999</v>
      </c>
      <c r="J504" s="8">
        <f t="shared" ca="1" si="69"/>
        <v>3490132.8000000007</v>
      </c>
      <c r="K504" s="6">
        <f t="shared" ca="1" si="70"/>
        <v>0.15000000000000002</v>
      </c>
      <c r="L504" s="4" t="str" cm="1">
        <f t="array" aca="1" ref="L50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04" s="8">
        <f t="shared" ca="1" si="71"/>
        <v>13731</v>
      </c>
      <c r="N504" s="4" t="str" cm="1">
        <f t="array" aca="1" ref="N504" ca="1">INDEX({"New";"Repeat"}, RANDBETWEEN(1,2))</f>
        <v>New</v>
      </c>
      <c r="O504" s="4" t="str" cm="1">
        <f t="array" aca="1" ref="O504" ca="1">INDEX({"Loan";"Cash";"Lease"}, RANDBETWEEN(1,3))</f>
        <v>Cash</v>
      </c>
    </row>
    <row r="505" spans="1:15" x14ac:dyDescent="0.2">
      <c r="A505" s="4">
        <v>503</v>
      </c>
      <c r="B505" s="5">
        <f t="shared" ca="1" si="63"/>
        <v>45796</v>
      </c>
      <c r="C505" s="4" t="str" cm="1">
        <f t="array" aca="1" ref="C505" ca="1">INDEX({"Cochin";"Delhi";"Mumbai";"Pune";"Bengaluru"}, RANDBETWEEN(1,5))</f>
        <v>Mumbai</v>
      </c>
      <c r="D505" s="4" t="str" cm="1">
        <f t="array" aca="1" ref="D505" ca="1">INDEX({"C-Class";"E-Class";"S-Class";"GLA";"GLC";"GLE";"GLS";"EQB"}, RANDBETWEEN(1,8))</f>
        <v>S-Class</v>
      </c>
      <c r="E505" s="4" t="str">
        <f t="shared" ca="1" si="64"/>
        <v>Sedan</v>
      </c>
      <c r="F505" s="4">
        <f t="shared" ca="1" si="65"/>
        <v>1</v>
      </c>
      <c r="G505" s="8">
        <f t="shared" ca="1" si="66"/>
        <v>19045329</v>
      </c>
      <c r="H505" s="8">
        <f t="shared" ca="1" si="67"/>
        <v>19045329</v>
      </c>
      <c r="I505" s="8">
        <f t="shared" ca="1" si="68"/>
        <v>15617169.779999999</v>
      </c>
      <c r="J505" s="8">
        <f t="shared" ca="1" si="69"/>
        <v>3428159.2200000007</v>
      </c>
      <c r="K505" s="6">
        <f t="shared" ca="1" si="70"/>
        <v>0.18000000000000005</v>
      </c>
      <c r="L505" s="4" t="str" cm="1">
        <f t="array" aca="1" ref="L505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05" s="8">
        <f t="shared" ca="1" si="71"/>
        <v>11520</v>
      </c>
      <c r="N505" s="4" t="str" cm="1">
        <f t="array" aca="1" ref="N505" ca="1">INDEX({"New";"Repeat"}, RANDBETWEEN(1,2))</f>
        <v>New</v>
      </c>
      <c r="O505" s="4" t="str" cm="1">
        <f t="array" aca="1" ref="O505" ca="1">INDEX({"Loan";"Cash";"Lease"}, RANDBETWEEN(1,3))</f>
        <v>Cash</v>
      </c>
    </row>
    <row r="506" spans="1:15" x14ac:dyDescent="0.2">
      <c r="A506" s="4">
        <v>504</v>
      </c>
      <c r="B506" s="5">
        <f t="shared" ca="1" si="63"/>
        <v>44973</v>
      </c>
      <c r="C506" s="4" t="str" cm="1">
        <f t="array" aca="1" ref="C506" ca="1">INDEX({"Cochin";"Delhi";"Mumbai";"Pune";"Bengaluru"}, RANDBETWEEN(1,5))</f>
        <v>Delhi</v>
      </c>
      <c r="D506" s="4" t="str" cm="1">
        <f t="array" aca="1" ref="D506" ca="1">INDEX({"C-Class";"E-Class";"S-Class";"GLA";"GLC";"GLE";"GLS";"EQB"}, RANDBETWEEN(1,8))</f>
        <v>C-Class</v>
      </c>
      <c r="E506" s="4" t="str">
        <f t="shared" ca="1" si="64"/>
        <v>Sedan</v>
      </c>
      <c r="F506" s="4">
        <f t="shared" ca="1" si="65"/>
        <v>5</v>
      </c>
      <c r="G506" s="8">
        <f t="shared" ca="1" si="66"/>
        <v>5762509</v>
      </c>
      <c r="H506" s="8">
        <f t="shared" ca="1" si="67"/>
        <v>28812545</v>
      </c>
      <c r="I506" s="8">
        <f t="shared" ca="1" si="68"/>
        <v>24490663.25</v>
      </c>
      <c r="J506" s="8">
        <f t="shared" ca="1" si="69"/>
        <v>4321881.75</v>
      </c>
      <c r="K506" s="6">
        <f t="shared" ca="1" si="70"/>
        <v>0.15</v>
      </c>
      <c r="L506" s="4" t="str" cm="1">
        <f t="array" aca="1" ref="L506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06" s="8">
        <f t="shared" ca="1" si="71"/>
        <v>17816</v>
      </c>
      <c r="N506" s="4" t="str" cm="1">
        <f t="array" aca="1" ref="N506" ca="1">INDEX({"New";"Repeat"}, RANDBETWEEN(1,2))</f>
        <v>New</v>
      </c>
      <c r="O506" s="4" t="str" cm="1">
        <f t="array" aca="1" ref="O506" ca="1">INDEX({"Loan";"Cash";"Lease"}, RANDBETWEEN(1,3))</f>
        <v>Loan</v>
      </c>
    </row>
    <row r="507" spans="1:15" x14ac:dyDescent="0.2">
      <c r="A507" s="4">
        <v>505</v>
      </c>
      <c r="B507" s="5">
        <f t="shared" ca="1" si="63"/>
        <v>45300</v>
      </c>
      <c r="C507" s="4" t="str" cm="1">
        <f t="array" aca="1" ref="C507" ca="1">INDEX({"Cochin";"Delhi";"Mumbai";"Pune";"Bengaluru"}, RANDBETWEEN(1,5))</f>
        <v>Delhi</v>
      </c>
      <c r="D507" s="4" t="str" cm="1">
        <f t="array" aca="1" ref="D507" ca="1">INDEX({"C-Class";"E-Class";"S-Class";"GLA";"GLC";"GLE";"GLS";"EQB"}, RANDBETWEEN(1,8))</f>
        <v>S-Class</v>
      </c>
      <c r="E507" s="4" t="str">
        <f t="shared" ca="1" si="64"/>
        <v>Sedan</v>
      </c>
      <c r="F507" s="4">
        <f t="shared" ca="1" si="65"/>
        <v>2</v>
      </c>
      <c r="G507" s="8">
        <f t="shared" ca="1" si="66"/>
        <v>23802680</v>
      </c>
      <c r="H507" s="8">
        <f t="shared" ca="1" si="67"/>
        <v>47605360</v>
      </c>
      <c r="I507" s="8">
        <f t="shared" ca="1" si="68"/>
        <v>37132180.799999997</v>
      </c>
      <c r="J507" s="8">
        <f t="shared" ca="1" si="69"/>
        <v>10473179.200000003</v>
      </c>
      <c r="K507" s="6">
        <f t="shared" ca="1" si="70"/>
        <v>0.22000000000000006</v>
      </c>
      <c r="L507" s="4" t="str" cm="1">
        <f t="array" aca="1" ref="L50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507" s="8">
        <f t="shared" ca="1" si="71"/>
        <v>3306</v>
      </c>
      <c r="N507" s="4" t="str" cm="1">
        <f t="array" aca="1" ref="N507" ca="1">INDEX({"New";"Repeat"}, RANDBETWEEN(1,2))</f>
        <v>Repeat</v>
      </c>
      <c r="O507" s="4" t="str" cm="1">
        <f t="array" aca="1" ref="O507" ca="1">INDEX({"Loan";"Cash";"Lease"}, RANDBETWEEN(1,3))</f>
        <v>Loan</v>
      </c>
    </row>
    <row r="508" spans="1:15" x14ac:dyDescent="0.2">
      <c r="A508" s="4">
        <v>506</v>
      </c>
      <c r="B508" s="5">
        <f t="shared" ca="1" si="63"/>
        <v>45730</v>
      </c>
      <c r="C508" s="4" t="str" cm="1">
        <f t="array" aca="1" ref="C508" ca="1">INDEX({"Cochin";"Delhi";"Mumbai";"Pune";"Bengaluru"}, RANDBETWEEN(1,5))</f>
        <v>Cochin</v>
      </c>
      <c r="D508" s="4" t="str" cm="1">
        <f t="array" aca="1" ref="D508" ca="1">INDEX({"C-Class";"E-Class";"S-Class";"GLA";"GLC";"GLE";"GLS";"EQB"}, RANDBETWEEN(1,8))</f>
        <v>S-Class</v>
      </c>
      <c r="E508" s="4" t="str">
        <f t="shared" ca="1" si="64"/>
        <v>Sedan</v>
      </c>
      <c r="F508" s="4">
        <f t="shared" ca="1" si="65"/>
        <v>5</v>
      </c>
      <c r="G508" s="8">
        <f t="shared" ca="1" si="66"/>
        <v>16789137</v>
      </c>
      <c r="H508" s="8">
        <f t="shared" ca="1" si="67"/>
        <v>83945685</v>
      </c>
      <c r="I508" s="8">
        <f t="shared" ca="1" si="68"/>
        <v>66317091.149999999</v>
      </c>
      <c r="J508" s="8">
        <f t="shared" ca="1" si="69"/>
        <v>17628593.850000001</v>
      </c>
      <c r="K508" s="6">
        <f t="shared" ca="1" si="70"/>
        <v>0.21000000000000002</v>
      </c>
      <c r="L508" s="4" t="str" cm="1">
        <f t="array" aca="1" ref="L50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08" s="8">
        <f t="shared" ca="1" si="71"/>
        <v>19396</v>
      </c>
      <c r="N508" s="4" t="str" cm="1">
        <f t="array" aca="1" ref="N508" ca="1">INDEX({"New";"Repeat"}, RANDBETWEEN(1,2))</f>
        <v>New</v>
      </c>
      <c r="O508" s="4" t="str" cm="1">
        <f t="array" aca="1" ref="O508" ca="1">INDEX({"Loan";"Cash";"Lease"}, RANDBETWEEN(1,3))</f>
        <v>Cash</v>
      </c>
    </row>
    <row r="509" spans="1:15" x14ac:dyDescent="0.2">
      <c r="A509" s="4">
        <v>507</v>
      </c>
      <c r="B509" s="5">
        <f t="shared" ca="1" si="63"/>
        <v>45787</v>
      </c>
      <c r="C509" s="4" t="str" cm="1">
        <f t="array" aca="1" ref="C509" ca="1">INDEX({"Cochin";"Delhi";"Mumbai";"Pune";"Bengaluru"}, RANDBETWEEN(1,5))</f>
        <v>Bengaluru</v>
      </c>
      <c r="D509" s="4" t="str" cm="1">
        <f t="array" aca="1" ref="D509" ca="1">INDEX({"C-Class";"E-Class";"S-Class";"GLA";"GLC";"GLE";"GLS";"EQB"}, RANDBETWEEN(1,8))</f>
        <v>GLA</v>
      </c>
      <c r="E509" s="4" t="str">
        <f t="shared" ca="1" si="64"/>
        <v>SUV</v>
      </c>
      <c r="F509" s="4">
        <f t="shared" ca="1" si="65"/>
        <v>5</v>
      </c>
      <c r="G509" s="8">
        <f t="shared" ca="1" si="66"/>
        <v>5113483</v>
      </c>
      <c r="H509" s="8">
        <f t="shared" ca="1" si="67"/>
        <v>25567415</v>
      </c>
      <c r="I509" s="8">
        <f t="shared" ca="1" si="68"/>
        <v>19686909.550000001</v>
      </c>
      <c r="J509" s="8">
        <f t="shared" ca="1" si="69"/>
        <v>5880505.4499999993</v>
      </c>
      <c r="K509" s="6">
        <f t="shared" ca="1" si="70"/>
        <v>0.22999999999999998</v>
      </c>
      <c r="L509" s="4" t="str" cm="1">
        <f t="array" aca="1" ref="L50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09" s="8">
        <f t="shared" ca="1" si="71"/>
        <v>16848</v>
      </c>
      <c r="N509" s="4" t="str" cm="1">
        <f t="array" aca="1" ref="N509" ca="1">INDEX({"New";"Repeat"}, RANDBETWEEN(1,2))</f>
        <v>New</v>
      </c>
      <c r="O509" s="4" t="str" cm="1">
        <f t="array" aca="1" ref="O509" ca="1">INDEX({"Loan";"Cash";"Lease"}, RANDBETWEEN(1,3))</f>
        <v>Lease</v>
      </c>
    </row>
    <row r="510" spans="1:15" x14ac:dyDescent="0.2">
      <c r="A510" s="4">
        <v>508</v>
      </c>
      <c r="B510" s="5">
        <f t="shared" ca="1" si="63"/>
        <v>45324</v>
      </c>
      <c r="C510" s="4" t="str" cm="1">
        <f t="array" aca="1" ref="C510" ca="1">INDEX({"Cochin";"Delhi";"Mumbai";"Pune";"Bengaluru"}, RANDBETWEEN(1,5))</f>
        <v>Pune</v>
      </c>
      <c r="D510" s="4" t="str" cm="1">
        <f t="array" aca="1" ref="D510" ca="1">INDEX({"C-Class";"E-Class";"S-Class";"GLA";"GLC";"GLE";"GLS";"EQB"}, RANDBETWEEN(1,8))</f>
        <v>EQB</v>
      </c>
      <c r="E510" s="4" t="str">
        <f t="shared" ca="1" si="64"/>
        <v>EV</v>
      </c>
      <c r="F510" s="4">
        <f t="shared" ca="1" si="65"/>
        <v>5</v>
      </c>
      <c r="G510" s="8">
        <f t="shared" ca="1" si="66"/>
        <v>7829759</v>
      </c>
      <c r="H510" s="8">
        <f t="shared" ca="1" si="67"/>
        <v>39148795</v>
      </c>
      <c r="I510" s="8">
        <f t="shared" ca="1" si="68"/>
        <v>32102011.899999999</v>
      </c>
      <c r="J510" s="8">
        <f t="shared" ca="1" si="69"/>
        <v>7046783.1000000015</v>
      </c>
      <c r="K510" s="6">
        <f t="shared" ca="1" si="70"/>
        <v>0.18000000000000005</v>
      </c>
      <c r="L510" s="4" t="str" cm="1">
        <f t="array" aca="1" ref="L51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10" s="8">
        <f t="shared" ca="1" si="71"/>
        <v>3123</v>
      </c>
      <c r="N510" s="4" t="str" cm="1">
        <f t="array" aca="1" ref="N510" ca="1">INDEX({"New";"Repeat"}, RANDBETWEEN(1,2))</f>
        <v>Repeat</v>
      </c>
      <c r="O510" s="4" t="str" cm="1">
        <f t="array" aca="1" ref="O510" ca="1">INDEX({"Loan";"Cash";"Lease"}, RANDBETWEEN(1,3))</f>
        <v>Lease</v>
      </c>
    </row>
    <row r="511" spans="1:15" x14ac:dyDescent="0.2">
      <c r="A511" s="4">
        <v>509</v>
      </c>
      <c r="B511" s="5">
        <f t="shared" ca="1" si="63"/>
        <v>45421</v>
      </c>
      <c r="C511" s="4" t="str" cm="1">
        <f t="array" aca="1" ref="C511" ca="1">INDEX({"Cochin";"Delhi";"Mumbai";"Pune";"Bengaluru"}, RANDBETWEEN(1,5))</f>
        <v>Cochin</v>
      </c>
      <c r="D511" s="4" t="str" cm="1">
        <f t="array" aca="1" ref="D511" ca="1">INDEX({"C-Class";"E-Class";"S-Class";"GLA";"GLC";"GLE";"GLS";"EQB"}, RANDBETWEEN(1,8))</f>
        <v>S-Class</v>
      </c>
      <c r="E511" s="4" t="str">
        <f t="shared" ca="1" si="64"/>
        <v>Sedan</v>
      </c>
      <c r="F511" s="4">
        <f t="shared" ca="1" si="65"/>
        <v>3</v>
      </c>
      <c r="G511" s="8">
        <f t="shared" ca="1" si="66"/>
        <v>20042676</v>
      </c>
      <c r="H511" s="8">
        <f t="shared" ca="1" si="67"/>
        <v>60128028</v>
      </c>
      <c r="I511" s="8">
        <f t="shared" ca="1" si="68"/>
        <v>45096021</v>
      </c>
      <c r="J511" s="8">
        <f t="shared" ca="1" si="69"/>
        <v>15032007</v>
      </c>
      <c r="K511" s="6">
        <f t="shared" ca="1" si="70"/>
        <v>0.25</v>
      </c>
      <c r="L511" s="4" t="str" cm="1">
        <f t="array" aca="1" ref="L51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11" s="8">
        <f t="shared" ca="1" si="71"/>
        <v>21879</v>
      </c>
      <c r="N511" s="4" t="str" cm="1">
        <f t="array" aca="1" ref="N511" ca="1">INDEX({"New";"Repeat"}, RANDBETWEEN(1,2))</f>
        <v>New</v>
      </c>
      <c r="O511" s="4" t="str" cm="1">
        <f t="array" aca="1" ref="O511" ca="1">INDEX({"Loan";"Cash";"Lease"}, RANDBETWEEN(1,3))</f>
        <v>Lease</v>
      </c>
    </row>
    <row r="512" spans="1:15" x14ac:dyDescent="0.2">
      <c r="A512" s="4">
        <v>510</v>
      </c>
      <c r="B512" s="5">
        <f t="shared" ca="1" si="63"/>
        <v>44992</v>
      </c>
      <c r="C512" s="4" t="str" cm="1">
        <f t="array" aca="1" ref="C512" ca="1">INDEX({"Cochin";"Delhi";"Mumbai";"Pune";"Bengaluru"}, RANDBETWEEN(1,5))</f>
        <v>Cochin</v>
      </c>
      <c r="D512" s="4" t="str" cm="1">
        <f t="array" aca="1" ref="D512" ca="1">INDEX({"C-Class";"E-Class";"S-Class";"GLA";"GLC";"GLE";"GLS";"EQB"}, RANDBETWEEN(1,8))</f>
        <v>E-Class</v>
      </c>
      <c r="E512" s="4" t="str">
        <f t="shared" ca="1" si="64"/>
        <v>Sedan</v>
      </c>
      <c r="F512" s="4">
        <f t="shared" ca="1" si="65"/>
        <v>5</v>
      </c>
      <c r="G512" s="8">
        <f t="shared" ca="1" si="66"/>
        <v>8448354</v>
      </c>
      <c r="H512" s="8">
        <f t="shared" ca="1" si="67"/>
        <v>42241770</v>
      </c>
      <c r="I512" s="8">
        <f t="shared" ca="1" si="68"/>
        <v>34638251.399999999</v>
      </c>
      <c r="J512" s="8">
        <f t="shared" ca="1" si="69"/>
        <v>7603518.6000000015</v>
      </c>
      <c r="K512" s="6">
        <f t="shared" ca="1" si="70"/>
        <v>0.18000000000000005</v>
      </c>
      <c r="L512" s="4" t="str" cm="1">
        <f t="array" aca="1" ref="L51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12" s="8">
        <f t="shared" ca="1" si="71"/>
        <v>19309</v>
      </c>
      <c r="N512" s="4" t="str" cm="1">
        <f t="array" aca="1" ref="N512" ca="1">INDEX({"New";"Repeat"}, RANDBETWEEN(1,2))</f>
        <v>New</v>
      </c>
      <c r="O512" s="4" t="str" cm="1">
        <f t="array" aca="1" ref="O512" ca="1">INDEX({"Loan";"Cash";"Lease"}, RANDBETWEEN(1,3))</f>
        <v>Loan</v>
      </c>
    </row>
    <row r="513" spans="1:15" x14ac:dyDescent="0.2">
      <c r="A513" s="4">
        <v>511</v>
      </c>
      <c r="B513" s="5">
        <f t="shared" ca="1" si="63"/>
        <v>45677</v>
      </c>
      <c r="C513" s="4" t="str" cm="1">
        <f t="array" aca="1" ref="C513" ca="1">INDEX({"Cochin";"Delhi";"Mumbai";"Pune";"Bengaluru"}, RANDBETWEEN(1,5))</f>
        <v>Bengaluru</v>
      </c>
      <c r="D513" s="4" t="str" cm="1">
        <f t="array" aca="1" ref="D513" ca="1">INDEX({"C-Class";"E-Class";"S-Class";"GLA";"GLC";"GLE";"GLS";"EQB"}, RANDBETWEEN(1,8))</f>
        <v>E-Class</v>
      </c>
      <c r="E513" s="4" t="str">
        <f t="shared" ca="1" si="64"/>
        <v>Sedan</v>
      </c>
      <c r="F513" s="4">
        <f t="shared" ca="1" si="65"/>
        <v>5</v>
      </c>
      <c r="G513" s="8">
        <f t="shared" ca="1" si="66"/>
        <v>9006269</v>
      </c>
      <c r="H513" s="8">
        <f t="shared" ca="1" si="67"/>
        <v>45031345</v>
      </c>
      <c r="I513" s="8">
        <f t="shared" ca="1" si="68"/>
        <v>35574762.549999997</v>
      </c>
      <c r="J513" s="8">
        <f t="shared" ca="1" si="69"/>
        <v>9456582.450000003</v>
      </c>
      <c r="K513" s="6">
        <f t="shared" ca="1" si="70"/>
        <v>0.21000000000000008</v>
      </c>
      <c r="L513" s="4" t="str" cm="1">
        <f t="array" aca="1" ref="L51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13" s="8">
        <f t="shared" ca="1" si="71"/>
        <v>10688</v>
      </c>
      <c r="N513" s="4" t="str" cm="1">
        <f t="array" aca="1" ref="N513" ca="1">INDEX({"New";"Repeat"}, RANDBETWEEN(1,2))</f>
        <v>New</v>
      </c>
      <c r="O513" s="4" t="str" cm="1">
        <f t="array" aca="1" ref="O513" ca="1">INDEX({"Loan";"Cash";"Lease"}, RANDBETWEEN(1,3))</f>
        <v>Lease</v>
      </c>
    </row>
    <row r="514" spans="1:15" x14ac:dyDescent="0.2">
      <c r="A514" s="4">
        <v>512</v>
      </c>
      <c r="B514" s="5">
        <f t="shared" ca="1" si="63"/>
        <v>45649</v>
      </c>
      <c r="C514" s="4" t="str" cm="1">
        <f t="array" aca="1" ref="C514" ca="1">INDEX({"Cochin";"Delhi";"Mumbai";"Pune";"Bengaluru"}, RANDBETWEEN(1,5))</f>
        <v>Bengaluru</v>
      </c>
      <c r="D514" s="4" t="str" cm="1">
        <f t="array" aca="1" ref="D514" ca="1">INDEX({"C-Class";"E-Class";"S-Class";"GLA";"GLC";"GLE";"GLS";"EQB"}, RANDBETWEEN(1,8))</f>
        <v>EQB</v>
      </c>
      <c r="E514" s="4" t="str">
        <f t="shared" ca="1" si="64"/>
        <v>EV</v>
      </c>
      <c r="F514" s="4">
        <f t="shared" ca="1" si="65"/>
        <v>5</v>
      </c>
      <c r="G514" s="8">
        <f t="shared" ca="1" si="66"/>
        <v>7073231</v>
      </c>
      <c r="H514" s="8">
        <f t="shared" ca="1" si="67"/>
        <v>35366155</v>
      </c>
      <c r="I514" s="8">
        <f t="shared" ca="1" si="68"/>
        <v>29707570.199999999</v>
      </c>
      <c r="J514" s="8">
        <f t="shared" ca="1" si="69"/>
        <v>5658584.8000000007</v>
      </c>
      <c r="K514" s="6">
        <f t="shared" ca="1" si="70"/>
        <v>0.16000000000000003</v>
      </c>
      <c r="L514" s="4" t="str" cm="1">
        <f t="array" aca="1" ref="L514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14" s="8">
        <f t="shared" ca="1" si="71"/>
        <v>21553</v>
      </c>
      <c r="N514" s="4" t="str" cm="1">
        <f t="array" aca="1" ref="N514" ca="1">INDEX({"New";"Repeat"}, RANDBETWEEN(1,2))</f>
        <v>New</v>
      </c>
      <c r="O514" s="4" t="str" cm="1">
        <f t="array" aca="1" ref="O514" ca="1">INDEX({"Loan";"Cash";"Lease"}, RANDBETWEEN(1,3))</f>
        <v>Lease</v>
      </c>
    </row>
    <row r="515" spans="1:15" x14ac:dyDescent="0.2">
      <c r="A515" s="4">
        <v>513</v>
      </c>
      <c r="B515" s="5">
        <f t="shared" ca="1" si="63"/>
        <v>45676</v>
      </c>
      <c r="C515" s="4" t="str" cm="1">
        <f t="array" aca="1" ref="C515" ca="1">INDEX({"Cochin";"Delhi";"Mumbai";"Pune";"Bengaluru"}, RANDBETWEEN(1,5))</f>
        <v>Mumbai</v>
      </c>
      <c r="D515" s="4" t="str" cm="1">
        <f t="array" aca="1" ref="D515" ca="1">INDEX({"C-Class";"E-Class";"S-Class";"GLA";"GLC";"GLE";"GLS";"EQB"}, RANDBETWEEN(1,8))</f>
        <v>C-Class</v>
      </c>
      <c r="E515" s="4" t="str">
        <f t="shared" ca="1" si="64"/>
        <v>Sedan</v>
      </c>
      <c r="F515" s="4">
        <f t="shared" ca="1" si="65"/>
        <v>3</v>
      </c>
      <c r="G515" s="8">
        <f t="shared" ca="1" si="66"/>
        <v>6428621</v>
      </c>
      <c r="H515" s="8">
        <f t="shared" ca="1" si="67"/>
        <v>19285863</v>
      </c>
      <c r="I515" s="8">
        <f t="shared" ca="1" si="68"/>
        <v>15428690.4</v>
      </c>
      <c r="J515" s="8">
        <f t="shared" ca="1" si="69"/>
        <v>3857172.5999999996</v>
      </c>
      <c r="K515" s="6">
        <f t="shared" ca="1" si="70"/>
        <v>0.19999999999999998</v>
      </c>
      <c r="L515" s="4" t="str" cm="1">
        <f t="array" aca="1" ref="L51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15" s="8">
        <f t="shared" ca="1" si="71"/>
        <v>7455</v>
      </c>
      <c r="N515" s="4" t="str" cm="1">
        <f t="array" aca="1" ref="N515" ca="1">INDEX({"New";"Repeat"}, RANDBETWEEN(1,2))</f>
        <v>Repeat</v>
      </c>
      <c r="O515" s="4" t="str" cm="1">
        <f t="array" aca="1" ref="O515" ca="1">INDEX({"Loan";"Cash";"Lease"}, RANDBETWEEN(1,3))</f>
        <v>Cash</v>
      </c>
    </row>
    <row r="516" spans="1:15" x14ac:dyDescent="0.2">
      <c r="A516" s="4">
        <v>514</v>
      </c>
      <c r="B516" s="5">
        <f t="shared" ref="B516:B579" ca="1" si="72">RANDBETWEEN(DATE(2023,1,1),DATE(2025,9,1))</f>
        <v>45564</v>
      </c>
      <c r="C516" s="4" t="str" cm="1">
        <f t="array" aca="1" ref="C516" ca="1">INDEX({"Cochin";"Delhi";"Mumbai";"Pune";"Bengaluru"}, RANDBETWEEN(1,5))</f>
        <v>Delhi</v>
      </c>
      <c r="D516" s="4" t="str" cm="1">
        <f t="array" aca="1" ref="D516" ca="1">INDEX({"C-Class";"E-Class";"S-Class";"GLA";"GLC";"GLE";"GLS";"EQB"}, RANDBETWEEN(1,8))</f>
        <v>EQB</v>
      </c>
      <c r="E516" s="4" t="str">
        <f t="shared" ref="E516:E579" ca="1" si="73">IF(D516="EQB","EV", IF(OR(D516="GLA",D516="GLC",D516="GLE",D516="GLS"),"SUV","Sedan"))</f>
        <v>EV</v>
      </c>
      <c r="F516" s="4">
        <f t="shared" ref="F516:F579" ca="1" si="74">RANDBETWEEN(1,5)</f>
        <v>1</v>
      </c>
      <c r="G516" s="8">
        <f t="shared" ref="G516:G579" ca="1" si="75">IF(D516="C-Class",RANDBETWEEN(5500000,7000000),
IF(D516="E-Class",RANDBETWEEN(7500000,9500000),
IF(D516="S-Class",RANDBETWEEN(15000000,25000000),
IF(D516="GLA",RANDBETWEEN(4500000,5500000),
IF(D516="GLC",RANDBETWEEN(6500000,7500000),
IF(D516="GLE",RANDBETWEEN(9000000,13000000),
IF(D516="GLS",RANDBETWEEN(13000000,18000000),
IF(D516="EQB",RANDBETWEEN(7000000,8000000)))))))))</f>
        <v>7232768</v>
      </c>
      <c r="H516" s="8">
        <f t="shared" ref="H516:H579" ca="1" si="76">F516*G516</f>
        <v>7232768</v>
      </c>
      <c r="I516" s="8">
        <f t="shared" ref="I516:I579" ca="1" si="77">G516 *F516* RANDBETWEEN(70,85) / 100</f>
        <v>6003197.4400000004</v>
      </c>
      <c r="J516" s="8">
        <f t="shared" ref="J516:J579" ca="1" si="78">H516 -I516</f>
        <v>1229570.5599999996</v>
      </c>
      <c r="K516" s="6">
        <f t="shared" ref="K516:K579" ca="1" si="79">J516/H516</f>
        <v>0.16999999999999996</v>
      </c>
      <c r="L516" s="4" t="str" cm="1">
        <f t="array" aca="1" ref="L51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16" s="8">
        <f t="shared" ref="M516:M579" ca="1" si="80">IF(N516="New", RANDBETWEEN(10000,25000), RANDBETWEEN(3000,8000))</f>
        <v>18070</v>
      </c>
      <c r="N516" s="4" t="str" cm="1">
        <f t="array" aca="1" ref="N516" ca="1">INDEX({"New";"Repeat"}, RANDBETWEEN(1,2))</f>
        <v>New</v>
      </c>
      <c r="O516" s="4" t="str" cm="1">
        <f t="array" aca="1" ref="O516" ca="1">INDEX({"Loan";"Cash";"Lease"}, RANDBETWEEN(1,3))</f>
        <v>Loan</v>
      </c>
    </row>
    <row r="517" spans="1:15" x14ac:dyDescent="0.2">
      <c r="A517" s="4">
        <v>515</v>
      </c>
      <c r="B517" s="5">
        <f t="shared" ca="1" si="72"/>
        <v>45029</v>
      </c>
      <c r="C517" s="4" t="str" cm="1">
        <f t="array" aca="1" ref="C517" ca="1">INDEX({"Cochin";"Delhi";"Mumbai";"Pune";"Bengaluru"}, RANDBETWEEN(1,5))</f>
        <v>Cochin</v>
      </c>
      <c r="D517" s="4" t="str" cm="1">
        <f t="array" aca="1" ref="D517" ca="1">INDEX({"C-Class";"E-Class";"S-Class";"GLA";"GLC";"GLE";"GLS";"EQB"}, RANDBETWEEN(1,8))</f>
        <v>GLA</v>
      </c>
      <c r="E517" s="4" t="str">
        <f t="shared" ca="1" si="73"/>
        <v>SUV</v>
      </c>
      <c r="F517" s="4">
        <f t="shared" ca="1" si="74"/>
        <v>5</v>
      </c>
      <c r="G517" s="8">
        <f t="shared" ca="1" si="75"/>
        <v>4626983</v>
      </c>
      <c r="H517" s="8">
        <f t="shared" ca="1" si="76"/>
        <v>23134915</v>
      </c>
      <c r="I517" s="8">
        <f t="shared" ca="1" si="77"/>
        <v>18276582.850000001</v>
      </c>
      <c r="J517" s="8">
        <f t="shared" ca="1" si="78"/>
        <v>4858332.1499999985</v>
      </c>
      <c r="K517" s="6">
        <f t="shared" ca="1" si="79"/>
        <v>0.20999999999999994</v>
      </c>
      <c r="L517" s="4" t="str" cm="1">
        <f t="array" aca="1" ref="L517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17" s="8">
        <f t="shared" ca="1" si="80"/>
        <v>4540</v>
      </c>
      <c r="N517" s="4" t="str" cm="1">
        <f t="array" aca="1" ref="N517" ca="1">INDEX({"New";"Repeat"}, RANDBETWEEN(1,2))</f>
        <v>Repeat</v>
      </c>
      <c r="O517" s="4" t="str" cm="1">
        <f t="array" aca="1" ref="O517" ca="1">INDEX({"Loan";"Cash";"Lease"}, RANDBETWEEN(1,3))</f>
        <v>Lease</v>
      </c>
    </row>
    <row r="518" spans="1:15" x14ac:dyDescent="0.2">
      <c r="A518" s="4">
        <v>516</v>
      </c>
      <c r="B518" s="5">
        <f t="shared" ca="1" si="72"/>
        <v>44989</v>
      </c>
      <c r="C518" s="4" t="str" cm="1">
        <f t="array" aca="1" ref="C518" ca="1">INDEX({"Cochin";"Delhi";"Mumbai";"Pune";"Bengaluru"}, RANDBETWEEN(1,5))</f>
        <v>Bengaluru</v>
      </c>
      <c r="D518" s="4" t="str" cm="1">
        <f t="array" aca="1" ref="D518" ca="1">INDEX({"C-Class";"E-Class";"S-Class";"GLA";"GLC";"GLE";"GLS";"EQB"}, RANDBETWEEN(1,8))</f>
        <v>E-Class</v>
      </c>
      <c r="E518" s="4" t="str">
        <f t="shared" ca="1" si="73"/>
        <v>Sedan</v>
      </c>
      <c r="F518" s="4">
        <f t="shared" ca="1" si="74"/>
        <v>4</v>
      </c>
      <c r="G518" s="8">
        <f t="shared" ca="1" si="75"/>
        <v>8755165</v>
      </c>
      <c r="H518" s="8">
        <f t="shared" ca="1" si="76"/>
        <v>35020660</v>
      </c>
      <c r="I518" s="8">
        <f t="shared" ca="1" si="77"/>
        <v>28366734.600000001</v>
      </c>
      <c r="J518" s="8">
        <f t="shared" ca="1" si="78"/>
        <v>6653925.3999999985</v>
      </c>
      <c r="K518" s="6">
        <f t="shared" ca="1" si="79"/>
        <v>0.18999999999999995</v>
      </c>
      <c r="L518" s="4" t="str" cm="1">
        <f t="array" aca="1" ref="L51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18" s="8">
        <f t="shared" ca="1" si="80"/>
        <v>4350</v>
      </c>
      <c r="N518" s="4" t="str" cm="1">
        <f t="array" aca="1" ref="N518" ca="1">INDEX({"New";"Repeat"}, RANDBETWEEN(1,2))</f>
        <v>Repeat</v>
      </c>
      <c r="O518" s="4" t="str" cm="1">
        <f t="array" aca="1" ref="O518" ca="1">INDEX({"Loan";"Cash";"Lease"}, RANDBETWEEN(1,3))</f>
        <v>Cash</v>
      </c>
    </row>
    <row r="519" spans="1:15" x14ac:dyDescent="0.2">
      <c r="A519" s="4">
        <v>517</v>
      </c>
      <c r="B519" s="5">
        <f t="shared" ca="1" si="72"/>
        <v>45709</v>
      </c>
      <c r="C519" s="4" t="str" cm="1">
        <f t="array" aca="1" ref="C519" ca="1">INDEX({"Cochin";"Delhi";"Mumbai";"Pune";"Bengaluru"}, RANDBETWEEN(1,5))</f>
        <v>Pune</v>
      </c>
      <c r="D519" s="4" t="str" cm="1">
        <f t="array" aca="1" ref="D519" ca="1">INDEX({"C-Class";"E-Class";"S-Class";"GLA";"GLC";"GLE";"GLS";"EQB"}, RANDBETWEEN(1,8))</f>
        <v>S-Class</v>
      </c>
      <c r="E519" s="4" t="str">
        <f t="shared" ca="1" si="73"/>
        <v>Sedan</v>
      </c>
      <c r="F519" s="4">
        <f t="shared" ca="1" si="74"/>
        <v>5</v>
      </c>
      <c r="G519" s="8">
        <f t="shared" ca="1" si="75"/>
        <v>17850827</v>
      </c>
      <c r="H519" s="8">
        <f t="shared" ca="1" si="76"/>
        <v>89254135</v>
      </c>
      <c r="I519" s="8">
        <f t="shared" ca="1" si="77"/>
        <v>66940601.25</v>
      </c>
      <c r="J519" s="8">
        <f t="shared" ca="1" si="78"/>
        <v>22313533.75</v>
      </c>
      <c r="K519" s="6">
        <f t="shared" ca="1" si="79"/>
        <v>0.25</v>
      </c>
      <c r="L519" s="4" t="str" cm="1">
        <f t="array" aca="1" ref="L519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19" s="8">
        <f t="shared" ca="1" si="80"/>
        <v>22920</v>
      </c>
      <c r="N519" s="4" t="str" cm="1">
        <f t="array" aca="1" ref="N519" ca="1">INDEX({"New";"Repeat"}, RANDBETWEEN(1,2))</f>
        <v>New</v>
      </c>
      <c r="O519" s="4" t="str" cm="1">
        <f t="array" aca="1" ref="O519" ca="1">INDEX({"Loan";"Cash";"Lease"}, RANDBETWEEN(1,3))</f>
        <v>Loan</v>
      </c>
    </row>
    <row r="520" spans="1:15" x14ac:dyDescent="0.2">
      <c r="A520" s="4">
        <v>518</v>
      </c>
      <c r="B520" s="5">
        <f t="shared" ca="1" si="72"/>
        <v>44979</v>
      </c>
      <c r="C520" s="4" t="str" cm="1">
        <f t="array" aca="1" ref="C520" ca="1">INDEX({"Cochin";"Delhi";"Mumbai";"Pune";"Bengaluru"}, RANDBETWEEN(1,5))</f>
        <v>Bengaluru</v>
      </c>
      <c r="D520" s="4" t="str" cm="1">
        <f t="array" aca="1" ref="D520" ca="1">INDEX({"C-Class";"E-Class";"S-Class";"GLA";"GLC";"GLE";"GLS";"EQB"}, RANDBETWEEN(1,8))</f>
        <v>E-Class</v>
      </c>
      <c r="E520" s="4" t="str">
        <f t="shared" ca="1" si="73"/>
        <v>Sedan</v>
      </c>
      <c r="F520" s="4">
        <f t="shared" ca="1" si="74"/>
        <v>5</v>
      </c>
      <c r="G520" s="8">
        <f t="shared" ca="1" si="75"/>
        <v>8198086</v>
      </c>
      <c r="H520" s="8">
        <f t="shared" ca="1" si="76"/>
        <v>40990430</v>
      </c>
      <c r="I520" s="8">
        <f t="shared" ca="1" si="77"/>
        <v>34431961.200000003</v>
      </c>
      <c r="J520" s="8">
        <f t="shared" ca="1" si="78"/>
        <v>6558468.799999997</v>
      </c>
      <c r="K520" s="6">
        <f t="shared" ca="1" si="79"/>
        <v>0.15999999999999992</v>
      </c>
      <c r="L520" s="4" t="str" cm="1">
        <f t="array" aca="1" ref="L52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20" s="8">
        <f t="shared" ca="1" si="80"/>
        <v>7920</v>
      </c>
      <c r="N520" s="4" t="str" cm="1">
        <f t="array" aca="1" ref="N520" ca="1">INDEX({"New";"Repeat"}, RANDBETWEEN(1,2))</f>
        <v>Repeat</v>
      </c>
      <c r="O520" s="4" t="str" cm="1">
        <f t="array" aca="1" ref="O520" ca="1">INDEX({"Loan";"Cash";"Lease"}, RANDBETWEEN(1,3))</f>
        <v>Cash</v>
      </c>
    </row>
    <row r="521" spans="1:15" x14ac:dyDescent="0.2">
      <c r="A521" s="4">
        <v>519</v>
      </c>
      <c r="B521" s="5">
        <f t="shared" ca="1" si="72"/>
        <v>45271</v>
      </c>
      <c r="C521" s="4" t="str" cm="1">
        <f t="array" aca="1" ref="C521" ca="1">INDEX({"Cochin";"Delhi";"Mumbai";"Pune";"Bengaluru"}, RANDBETWEEN(1,5))</f>
        <v>Bengaluru</v>
      </c>
      <c r="D521" s="4" t="str" cm="1">
        <f t="array" aca="1" ref="D521" ca="1">INDEX({"C-Class";"E-Class";"S-Class";"GLA";"GLC";"GLE";"GLS";"EQB"}, RANDBETWEEN(1,8))</f>
        <v>GLS</v>
      </c>
      <c r="E521" s="4" t="str">
        <f t="shared" ca="1" si="73"/>
        <v>SUV</v>
      </c>
      <c r="F521" s="4">
        <f t="shared" ca="1" si="74"/>
        <v>5</v>
      </c>
      <c r="G521" s="8">
        <f t="shared" ca="1" si="75"/>
        <v>16062446</v>
      </c>
      <c r="H521" s="8">
        <f t="shared" ca="1" si="76"/>
        <v>80312230</v>
      </c>
      <c r="I521" s="8">
        <f t="shared" ca="1" si="77"/>
        <v>59431050.200000003</v>
      </c>
      <c r="J521" s="8">
        <f t="shared" ca="1" si="78"/>
        <v>20881179.799999997</v>
      </c>
      <c r="K521" s="6">
        <f t="shared" ca="1" si="79"/>
        <v>0.25999999999999995</v>
      </c>
      <c r="L521" s="4" t="str" cm="1">
        <f t="array" aca="1" ref="L52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21" s="8">
        <f t="shared" ca="1" si="80"/>
        <v>18911</v>
      </c>
      <c r="N521" s="4" t="str" cm="1">
        <f t="array" aca="1" ref="N521" ca="1">INDEX({"New";"Repeat"}, RANDBETWEEN(1,2))</f>
        <v>New</v>
      </c>
      <c r="O521" s="4" t="str" cm="1">
        <f t="array" aca="1" ref="O521" ca="1">INDEX({"Loan";"Cash";"Lease"}, RANDBETWEEN(1,3))</f>
        <v>Loan</v>
      </c>
    </row>
    <row r="522" spans="1:15" x14ac:dyDescent="0.2">
      <c r="A522" s="4">
        <v>520</v>
      </c>
      <c r="B522" s="5">
        <f t="shared" ca="1" si="72"/>
        <v>45890</v>
      </c>
      <c r="C522" s="4" t="str" cm="1">
        <f t="array" aca="1" ref="C522" ca="1">INDEX({"Cochin";"Delhi";"Mumbai";"Pune";"Bengaluru"}, RANDBETWEEN(1,5))</f>
        <v>Mumbai</v>
      </c>
      <c r="D522" s="4" t="str" cm="1">
        <f t="array" aca="1" ref="D522" ca="1">INDEX({"C-Class";"E-Class";"S-Class";"GLA";"GLC";"GLE";"GLS";"EQB"}, RANDBETWEEN(1,8))</f>
        <v>E-Class</v>
      </c>
      <c r="E522" s="4" t="str">
        <f t="shared" ca="1" si="73"/>
        <v>Sedan</v>
      </c>
      <c r="F522" s="4">
        <f t="shared" ca="1" si="74"/>
        <v>1</v>
      </c>
      <c r="G522" s="8">
        <f t="shared" ca="1" si="75"/>
        <v>8597794</v>
      </c>
      <c r="H522" s="8">
        <f t="shared" ca="1" si="76"/>
        <v>8597794</v>
      </c>
      <c r="I522" s="8">
        <f t="shared" ca="1" si="77"/>
        <v>7222146.96</v>
      </c>
      <c r="J522" s="8">
        <f t="shared" ca="1" si="78"/>
        <v>1375647.04</v>
      </c>
      <c r="K522" s="6">
        <f t="shared" ca="1" si="79"/>
        <v>0.16</v>
      </c>
      <c r="L522" s="4" t="str" cm="1">
        <f t="array" aca="1" ref="L52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22" s="8">
        <f t="shared" ca="1" si="80"/>
        <v>3422</v>
      </c>
      <c r="N522" s="4" t="str" cm="1">
        <f t="array" aca="1" ref="N522" ca="1">INDEX({"New";"Repeat"}, RANDBETWEEN(1,2))</f>
        <v>Repeat</v>
      </c>
      <c r="O522" s="4" t="str" cm="1">
        <f t="array" aca="1" ref="O522" ca="1">INDEX({"Loan";"Cash";"Lease"}, RANDBETWEEN(1,3))</f>
        <v>Cash</v>
      </c>
    </row>
    <row r="523" spans="1:15" x14ac:dyDescent="0.2">
      <c r="A523" s="4">
        <v>521</v>
      </c>
      <c r="B523" s="5">
        <f t="shared" ca="1" si="72"/>
        <v>45452</v>
      </c>
      <c r="C523" s="4" t="str" cm="1">
        <f t="array" aca="1" ref="C523" ca="1">INDEX({"Cochin";"Delhi";"Mumbai";"Pune";"Bengaluru"}, RANDBETWEEN(1,5))</f>
        <v>Delhi</v>
      </c>
      <c r="D523" s="4" t="str" cm="1">
        <f t="array" aca="1" ref="D523" ca="1">INDEX({"C-Class";"E-Class";"S-Class";"GLA";"GLC";"GLE";"GLS";"EQB"}, RANDBETWEEN(1,8))</f>
        <v>C-Class</v>
      </c>
      <c r="E523" s="4" t="str">
        <f t="shared" ca="1" si="73"/>
        <v>Sedan</v>
      </c>
      <c r="F523" s="4">
        <f t="shared" ca="1" si="74"/>
        <v>1</v>
      </c>
      <c r="G523" s="8">
        <f t="shared" ca="1" si="75"/>
        <v>5581611</v>
      </c>
      <c r="H523" s="8">
        <f t="shared" ca="1" si="76"/>
        <v>5581611</v>
      </c>
      <c r="I523" s="8">
        <f t="shared" ca="1" si="77"/>
        <v>4074576.03</v>
      </c>
      <c r="J523" s="8">
        <f t="shared" ca="1" si="78"/>
        <v>1507034.9700000002</v>
      </c>
      <c r="K523" s="6">
        <f t="shared" ca="1" si="79"/>
        <v>0.27</v>
      </c>
      <c r="L523" s="4" t="str" cm="1">
        <f t="array" aca="1" ref="L523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23" s="8">
        <f t="shared" ca="1" si="80"/>
        <v>20137</v>
      </c>
      <c r="N523" s="4" t="str" cm="1">
        <f t="array" aca="1" ref="N523" ca="1">INDEX({"New";"Repeat"}, RANDBETWEEN(1,2))</f>
        <v>New</v>
      </c>
      <c r="O523" s="4" t="str" cm="1">
        <f t="array" aca="1" ref="O523" ca="1">INDEX({"Loan";"Cash";"Lease"}, RANDBETWEEN(1,3))</f>
        <v>Lease</v>
      </c>
    </row>
    <row r="524" spans="1:15" x14ac:dyDescent="0.2">
      <c r="A524" s="4">
        <v>522</v>
      </c>
      <c r="B524" s="5">
        <f t="shared" ca="1" si="72"/>
        <v>45564</v>
      </c>
      <c r="C524" s="4" t="str" cm="1">
        <f t="array" aca="1" ref="C524" ca="1">INDEX({"Cochin";"Delhi";"Mumbai";"Pune";"Bengaluru"}, RANDBETWEEN(1,5))</f>
        <v>Cochin</v>
      </c>
      <c r="D524" s="4" t="str" cm="1">
        <f t="array" aca="1" ref="D524" ca="1">INDEX({"C-Class";"E-Class";"S-Class";"GLA";"GLC";"GLE";"GLS";"EQB"}, RANDBETWEEN(1,8))</f>
        <v>S-Class</v>
      </c>
      <c r="E524" s="4" t="str">
        <f t="shared" ca="1" si="73"/>
        <v>Sedan</v>
      </c>
      <c r="F524" s="4">
        <f t="shared" ca="1" si="74"/>
        <v>3</v>
      </c>
      <c r="G524" s="8">
        <f t="shared" ca="1" si="75"/>
        <v>21451026</v>
      </c>
      <c r="H524" s="8">
        <f t="shared" ca="1" si="76"/>
        <v>64353078</v>
      </c>
      <c r="I524" s="8">
        <f t="shared" ca="1" si="77"/>
        <v>54056585.520000003</v>
      </c>
      <c r="J524" s="8">
        <f t="shared" ca="1" si="78"/>
        <v>10296492.479999997</v>
      </c>
      <c r="K524" s="6">
        <f t="shared" ca="1" si="79"/>
        <v>0.15999999999999995</v>
      </c>
      <c r="L524" s="4" t="str" cm="1">
        <f t="array" aca="1" ref="L52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24" s="8">
        <f t="shared" ca="1" si="80"/>
        <v>4261</v>
      </c>
      <c r="N524" s="4" t="str" cm="1">
        <f t="array" aca="1" ref="N524" ca="1">INDEX({"New";"Repeat"}, RANDBETWEEN(1,2))</f>
        <v>Repeat</v>
      </c>
      <c r="O524" s="4" t="str" cm="1">
        <f t="array" aca="1" ref="O524" ca="1">INDEX({"Loan";"Cash";"Lease"}, RANDBETWEEN(1,3))</f>
        <v>Loan</v>
      </c>
    </row>
    <row r="525" spans="1:15" x14ac:dyDescent="0.2">
      <c r="A525" s="4">
        <v>523</v>
      </c>
      <c r="B525" s="5">
        <f t="shared" ca="1" si="72"/>
        <v>45770</v>
      </c>
      <c r="C525" s="4" t="str" cm="1">
        <f t="array" aca="1" ref="C525" ca="1">INDEX({"Cochin";"Delhi";"Mumbai";"Pune";"Bengaluru"}, RANDBETWEEN(1,5))</f>
        <v>Bengaluru</v>
      </c>
      <c r="D525" s="4" t="str" cm="1">
        <f t="array" aca="1" ref="D525" ca="1">INDEX({"C-Class";"E-Class";"S-Class";"GLA";"GLC";"GLE";"GLS";"EQB"}, RANDBETWEEN(1,8))</f>
        <v>GLC</v>
      </c>
      <c r="E525" s="4" t="str">
        <f t="shared" ca="1" si="73"/>
        <v>SUV</v>
      </c>
      <c r="F525" s="4">
        <f t="shared" ca="1" si="74"/>
        <v>3</v>
      </c>
      <c r="G525" s="8">
        <f t="shared" ca="1" si="75"/>
        <v>6945566</v>
      </c>
      <c r="H525" s="8">
        <f t="shared" ca="1" si="76"/>
        <v>20836698</v>
      </c>
      <c r="I525" s="8">
        <f t="shared" ca="1" si="77"/>
        <v>15002422.560000001</v>
      </c>
      <c r="J525" s="8">
        <f t="shared" ca="1" si="78"/>
        <v>5834275.4399999995</v>
      </c>
      <c r="K525" s="6">
        <f t="shared" ca="1" si="79"/>
        <v>0.27999999999999997</v>
      </c>
      <c r="L525" s="4" t="str" cm="1">
        <f t="array" aca="1" ref="L52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25" s="8">
        <f t="shared" ca="1" si="80"/>
        <v>3174</v>
      </c>
      <c r="N525" s="4" t="str" cm="1">
        <f t="array" aca="1" ref="N525" ca="1">INDEX({"New";"Repeat"}, RANDBETWEEN(1,2))</f>
        <v>Repeat</v>
      </c>
      <c r="O525" s="4" t="str" cm="1">
        <f t="array" aca="1" ref="O525" ca="1">INDEX({"Loan";"Cash";"Lease"}, RANDBETWEEN(1,3))</f>
        <v>Lease</v>
      </c>
    </row>
    <row r="526" spans="1:15" x14ac:dyDescent="0.2">
      <c r="A526" s="4">
        <v>524</v>
      </c>
      <c r="B526" s="5">
        <f t="shared" ca="1" si="72"/>
        <v>44967</v>
      </c>
      <c r="C526" s="4" t="str" cm="1">
        <f t="array" aca="1" ref="C526" ca="1">INDEX({"Cochin";"Delhi";"Mumbai";"Pune";"Bengaluru"}, RANDBETWEEN(1,5))</f>
        <v>Cochin</v>
      </c>
      <c r="D526" s="4" t="str" cm="1">
        <f t="array" aca="1" ref="D526" ca="1">INDEX({"C-Class";"E-Class";"S-Class";"GLA";"GLC";"GLE";"GLS";"EQB"}, RANDBETWEEN(1,8))</f>
        <v>GLE</v>
      </c>
      <c r="E526" s="4" t="str">
        <f t="shared" ca="1" si="73"/>
        <v>SUV</v>
      </c>
      <c r="F526" s="4">
        <f t="shared" ca="1" si="74"/>
        <v>1</v>
      </c>
      <c r="G526" s="8">
        <f t="shared" ca="1" si="75"/>
        <v>12876780</v>
      </c>
      <c r="H526" s="8">
        <f t="shared" ca="1" si="76"/>
        <v>12876780</v>
      </c>
      <c r="I526" s="8">
        <f t="shared" ca="1" si="77"/>
        <v>10430191.800000001</v>
      </c>
      <c r="J526" s="8">
        <f t="shared" ca="1" si="78"/>
        <v>2446588.1999999993</v>
      </c>
      <c r="K526" s="6">
        <f t="shared" ca="1" si="79"/>
        <v>0.18999999999999995</v>
      </c>
      <c r="L526" s="4" t="str" cm="1">
        <f t="array" aca="1" ref="L526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26" s="8">
        <f t="shared" ca="1" si="80"/>
        <v>6659</v>
      </c>
      <c r="N526" s="4" t="str" cm="1">
        <f t="array" aca="1" ref="N526" ca="1">INDEX({"New";"Repeat"}, RANDBETWEEN(1,2))</f>
        <v>Repeat</v>
      </c>
      <c r="O526" s="4" t="str" cm="1">
        <f t="array" aca="1" ref="O526" ca="1">INDEX({"Loan";"Cash";"Lease"}, RANDBETWEEN(1,3))</f>
        <v>Cash</v>
      </c>
    </row>
    <row r="527" spans="1:15" x14ac:dyDescent="0.2">
      <c r="A527" s="4">
        <v>525</v>
      </c>
      <c r="B527" s="5">
        <f t="shared" ca="1" si="72"/>
        <v>44986</v>
      </c>
      <c r="C527" s="4" t="str" cm="1">
        <f t="array" aca="1" ref="C527" ca="1">INDEX({"Cochin";"Delhi";"Mumbai";"Pune";"Bengaluru"}, RANDBETWEEN(1,5))</f>
        <v>Pune</v>
      </c>
      <c r="D527" s="4" t="str" cm="1">
        <f t="array" aca="1" ref="D527" ca="1">INDEX({"C-Class";"E-Class";"S-Class";"GLA";"GLC";"GLE";"GLS";"EQB"}, RANDBETWEEN(1,8))</f>
        <v>GLS</v>
      </c>
      <c r="E527" s="4" t="str">
        <f t="shared" ca="1" si="73"/>
        <v>SUV</v>
      </c>
      <c r="F527" s="4">
        <f t="shared" ca="1" si="74"/>
        <v>5</v>
      </c>
      <c r="G527" s="8">
        <f t="shared" ca="1" si="75"/>
        <v>13691909</v>
      </c>
      <c r="H527" s="8">
        <f t="shared" ca="1" si="76"/>
        <v>68459545</v>
      </c>
      <c r="I527" s="8">
        <f t="shared" ca="1" si="77"/>
        <v>54767636</v>
      </c>
      <c r="J527" s="8">
        <f t="shared" ca="1" si="78"/>
        <v>13691909</v>
      </c>
      <c r="K527" s="6">
        <f t="shared" ca="1" si="79"/>
        <v>0.2</v>
      </c>
      <c r="L527" s="4" t="str" cm="1">
        <f t="array" aca="1" ref="L52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27" s="8">
        <f t="shared" ca="1" si="80"/>
        <v>3431</v>
      </c>
      <c r="N527" s="4" t="str" cm="1">
        <f t="array" aca="1" ref="N527" ca="1">INDEX({"New";"Repeat"}, RANDBETWEEN(1,2))</f>
        <v>Repeat</v>
      </c>
      <c r="O527" s="4" t="str" cm="1">
        <f t="array" aca="1" ref="O527" ca="1">INDEX({"Loan";"Cash";"Lease"}, RANDBETWEEN(1,3))</f>
        <v>Cash</v>
      </c>
    </row>
    <row r="528" spans="1:15" x14ac:dyDescent="0.2">
      <c r="A528" s="4">
        <v>526</v>
      </c>
      <c r="B528" s="5">
        <f t="shared" ca="1" si="72"/>
        <v>44947</v>
      </c>
      <c r="C528" s="4" t="str" cm="1">
        <f t="array" aca="1" ref="C528" ca="1">INDEX({"Cochin";"Delhi";"Mumbai";"Pune";"Bengaluru"}, RANDBETWEEN(1,5))</f>
        <v>Delhi</v>
      </c>
      <c r="D528" s="4" t="str" cm="1">
        <f t="array" aca="1" ref="D528" ca="1">INDEX({"C-Class";"E-Class";"S-Class";"GLA";"GLC";"GLE";"GLS";"EQB"}, RANDBETWEEN(1,8))</f>
        <v>E-Class</v>
      </c>
      <c r="E528" s="4" t="str">
        <f t="shared" ca="1" si="73"/>
        <v>Sedan</v>
      </c>
      <c r="F528" s="4">
        <f t="shared" ca="1" si="74"/>
        <v>3</v>
      </c>
      <c r="G528" s="8">
        <f t="shared" ca="1" si="75"/>
        <v>8792622</v>
      </c>
      <c r="H528" s="8">
        <f t="shared" ca="1" si="76"/>
        <v>26377866</v>
      </c>
      <c r="I528" s="8">
        <f t="shared" ca="1" si="77"/>
        <v>19519620.84</v>
      </c>
      <c r="J528" s="8">
        <f t="shared" ca="1" si="78"/>
        <v>6858245.1600000001</v>
      </c>
      <c r="K528" s="6">
        <f t="shared" ca="1" si="79"/>
        <v>0.26</v>
      </c>
      <c r="L528" s="4" t="str" cm="1">
        <f t="array" aca="1" ref="L52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28" s="8">
        <f t="shared" ca="1" si="80"/>
        <v>6256</v>
      </c>
      <c r="N528" s="4" t="str" cm="1">
        <f t="array" aca="1" ref="N528" ca="1">INDEX({"New";"Repeat"}, RANDBETWEEN(1,2))</f>
        <v>Repeat</v>
      </c>
      <c r="O528" s="4" t="str" cm="1">
        <f t="array" aca="1" ref="O528" ca="1">INDEX({"Loan";"Cash";"Lease"}, RANDBETWEEN(1,3))</f>
        <v>Lease</v>
      </c>
    </row>
    <row r="529" spans="1:15" x14ac:dyDescent="0.2">
      <c r="A529" s="4">
        <v>527</v>
      </c>
      <c r="B529" s="5">
        <f t="shared" ca="1" si="72"/>
        <v>44993</v>
      </c>
      <c r="C529" s="4" t="str" cm="1">
        <f t="array" aca="1" ref="C529" ca="1">INDEX({"Cochin";"Delhi";"Mumbai";"Pune";"Bengaluru"}, RANDBETWEEN(1,5))</f>
        <v>Pune</v>
      </c>
      <c r="D529" s="4" t="str" cm="1">
        <f t="array" aca="1" ref="D529" ca="1">INDEX({"C-Class";"E-Class";"S-Class";"GLA";"GLC";"GLE";"GLS";"EQB"}, RANDBETWEEN(1,8))</f>
        <v>S-Class</v>
      </c>
      <c r="E529" s="4" t="str">
        <f t="shared" ca="1" si="73"/>
        <v>Sedan</v>
      </c>
      <c r="F529" s="4">
        <f t="shared" ca="1" si="74"/>
        <v>4</v>
      </c>
      <c r="G529" s="8">
        <f t="shared" ca="1" si="75"/>
        <v>22161887</v>
      </c>
      <c r="H529" s="8">
        <f t="shared" ca="1" si="76"/>
        <v>88647548</v>
      </c>
      <c r="I529" s="8">
        <f t="shared" ca="1" si="77"/>
        <v>74463940.319999993</v>
      </c>
      <c r="J529" s="8">
        <f t="shared" ca="1" si="78"/>
        <v>14183607.680000007</v>
      </c>
      <c r="K529" s="6">
        <f t="shared" ca="1" si="79"/>
        <v>0.16000000000000009</v>
      </c>
      <c r="L529" s="4" t="str" cm="1">
        <f t="array" aca="1" ref="L52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29" s="8">
        <f t="shared" ca="1" si="80"/>
        <v>17746</v>
      </c>
      <c r="N529" s="4" t="str" cm="1">
        <f t="array" aca="1" ref="N529" ca="1">INDEX({"New";"Repeat"}, RANDBETWEEN(1,2))</f>
        <v>New</v>
      </c>
      <c r="O529" s="4" t="str" cm="1">
        <f t="array" aca="1" ref="O529" ca="1">INDEX({"Loan";"Cash";"Lease"}, RANDBETWEEN(1,3))</f>
        <v>Lease</v>
      </c>
    </row>
    <row r="530" spans="1:15" x14ac:dyDescent="0.2">
      <c r="A530" s="4">
        <v>528</v>
      </c>
      <c r="B530" s="5">
        <f t="shared" ca="1" si="72"/>
        <v>45430</v>
      </c>
      <c r="C530" s="4" t="str" cm="1">
        <f t="array" aca="1" ref="C530" ca="1">INDEX({"Cochin";"Delhi";"Mumbai";"Pune";"Bengaluru"}, RANDBETWEEN(1,5))</f>
        <v>Pune</v>
      </c>
      <c r="D530" s="4" t="str" cm="1">
        <f t="array" aca="1" ref="D530" ca="1">INDEX({"C-Class";"E-Class";"S-Class";"GLA";"GLC";"GLE";"GLS";"EQB"}, RANDBETWEEN(1,8))</f>
        <v>GLS</v>
      </c>
      <c r="E530" s="4" t="str">
        <f t="shared" ca="1" si="73"/>
        <v>SUV</v>
      </c>
      <c r="F530" s="4">
        <f t="shared" ca="1" si="74"/>
        <v>2</v>
      </c>
      <c r="G530" s="8">
        <f t="shared" ca="1" si="75"/>
        <v>14945641</v>
      </c>
      <c r="H530" s="8">
        <f t="shared" ca="1" si="76"/>
        <v>29891282</v>
      </c>
      <c r="I530" s="8">
        <f t="shared" ca="1" si="77"/>
        <v>20923897.399999999</v>
      </c>
      <c r="J530" s="8">
        <f t="shared" ca="1" si="78"/>
        <v>8967384.6000000015</v>
      </c>
      <c r="K530" s="6">
        <f t="shared" ca="1" si="79"/>
        <v>0.30000000000000004</v>
      </c>
      <c r="L530" s="4" t="str" cm="1">
        <f t="array" aca="1" ref="L53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30" s="8">
        <f t="shared" ca="1" si="80"/>
        <v>6317</v>
      </c>
      <c r="N530" s="4" t="str" cm="1">
        <f t="array" aca="1" ref="N530" ca="1">INDEX({"New";"Repeat"}, RANDBETWEEN(1,2))</f>
        <v>Repeat</v>
      </c>
      <c r="O530" s="4" t="str" cm="1">
        <f t="array" aca="1" ref="O530" ca="1">INDEX({"Loan";"Cash";"Lease"}, RANDBETWEEN(1,3))</f>
        <v>Loan</v>
      </c>
    </row>
    <row r="531" spans="1:15" x14ac:dyDescent="0.2">
      <c r="A531" s="4">
        <v>529</v>
      </c>
      <c r="B531" s="5">
        <f t="shared" ca="1" si="72"/>
        <v>45745</v>
      </c>
      <c r="C531" s="4" t="str" cm="1">
        <f t="array" aca="1" ref="C531" ca="1">INDEX({"Cochin";"Delhi";"Mumbai";"Pune";"Bengaluru"}, RANDBETWEEN(1,5))</f>
        <v>Cochin</v>
      </c>
      <c r="D531" s="4" t="str" cm="1">
        <f t="array" aca="1" ref="D531" ca="1">INDEX({"C-Class";"E-Class";"S-Class";"GLA";"GLC";"GLE";"GLS";"EQB"}, RANDBETWEEN(1,8))</f>
        <v>C-Class</v>
      </c>
      <c r="E531" s="4" t="str">
        <f t="shared" ca="1" si="73"/>
        <v>Sedan</v>
      </c>
      <c r="F531" s="4">
        <f t="shared" ca="1" si="74"/>
        <v>3</v>
      </c>
      <c r="G531" s="8">
        <f t="shared" ca="1" si="75"/>
        <v>5628518</v>
      </c>
      <c r="H531" s="8">
        <f t="shared" ca="1" si="76"/>
        <v>16885554</v>
      </c>
      <c r="I531" s="8">
        <f t="shared" ca="1" si="77"/>
        <v>13339587.66</v>
      </c>
      <c r="J531" s="8">
        <f t="shared" ca="1" si="78"/>
        <v>3545966.34</v>
      </c>
      <c r="K531" s="6">
        <f t="shared" ca="1" si="79"/>
        <v>0.21</v>
      </c>
      <c r="L531" s="4" t="str" cm="1">
        <f t="array" aca="1" ref="L531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531" s="8">
        <f t="shared" ca="1" si="80"/>
        <v>3287</v>
      </c>
      <c r="N531" s="4" t="str" cm="1">
        <f t="array" aca="1" ref="N531" ca="1">INDEX({"New";"Repeat"}, RANDBETWEEN(1,2))</f>
        <v>Repeat</v>
      </c>
      <c r="O531" s="4" t="str" cm="1">
        <f t="array" aca="1" ref="O531" ca="1">INDEX({"Loan";"Cash";"Lease"}, RANDBETWEEN(1,3))</f>
        <v>Loan</v>
      </c>
    </row>
    <row r="532" spans="1:15" x14ac:dyDescent="0.2">
      <c r="A532" s="4">
        <v>530</v>
      </c>
      <c r="B532" s="5">
        <f t="shared" ca="1" si="72"/>
        <v>45559</v>
      </c>
      <c r="C532" s="4" t="str" cm="1">
        <f t="array" aca="1" ref="C532" ca="1">INDEX({"Cochin";"Delhi";"Mumbai";"Pune";"Bengaluru"}, RANDBETWEEN(1,5))</f>
        <v>Bengaluru</v>
      </c>
      <c r="D532" s="4" t="str" cm="1">
        <f t="array" aca="1" ref="D532" ca="1">INDEX({"C-Class";"E-Class";"S-Class";"GLA";"GLC";"GLE";"GLS";"EQB"}, RANDBETWEEN(1,8))</f>
        <v>C-Class</v>
      </c>
      <c r="E532" s="4" t="str">
        <f t="shared" ca="1" si="73"/>
        <v>Sedan</v>
      </c>
      <c r="F532" s="4">
        <f t="shared" ca="1" si="74"/>
        <v>3</v>
      </c>
      <c r="G532" s="8">
        <f t="shared" ca="1" si="75"/>
        <v>5543428</v>
      </c>
      <c r="H532" s="8">
        <f t="shared" ca="1" si="76"/>
        <v>16630284</v>
      </c>
      <c r="I532" s="8">
        <f t="shared" ca="1" si="77"/>
        <v>12306410.16</v>
      </c>
      <c r="J532" s="8">
        <f t="shared" ca="1" si="78"/>
        <v>4323873.84</v>
      </c>
      <c r="K532" s="6">
        <f t="shared" ca="1" si="79"/>
        <v>0.26</v>
      </c>
      <c r="L532" s="4" t="str" cm="1">
        <f t="array" aca="1" ref="L532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32" s="8">
        <f t="shared" ca="1" si="80"/>
        <v>18071</v>
      </c>
      <c r="N532" s="4" t="str" cm="1">
        <f t="array" aca="1" ref="N532" ca="1">INDEX({"New";"Repeat"}, RANDBETWEEN(1,2))</f>
        <v>New</v>
      </c>
      <c r="O532" s="4" t="str" cm="1">
        <f t="array" aca="1" ref="O532" ca="1">INDEX({"Loan";"Cash";"Lease"}, RANDBETWEEN(1,3))</f>
        <v>Cash</v>
      </c>
    </row>
    <row r="533" spans="1:15" x14ac:dyDescent="0.2">
      <c r="A533" s="4">
        <v>531</v>
      </c>
      <c r="B533" s="5">
        <f t="shared" ca="1" si="72"/>
        <v>45004</v>
      </c>
      <c r="C533" s="4" t="str" cm="1">
        <f t="array" aca="1" ref="C533" ca="1">INDEX({"Cochin";"Delhi";"Mumbai";"Pune";"Bengaluru"}, RANDBETWEEN(1,5))</f>
        <v>Pune</v>
      </c>
      <c r="D533" s="4" t="str" cm="1">
        <f t="array" aca="1" ref="D533" ca="1">INDEX({"C-Class";"E-Class";"S-Class";"GLA";"GLC";"GLE";"GLS";"EQB"}, RANDBETWEEN(1,8))</f>
        <v>GLC</v>
      </c>
      <c r="E533" s="4" t="str">
        <f t="shared" ca="1" si="73"/>
        <v>SUV</v>
      </c>
      <c r="F533" s="4">
        <f t="shared" ca="1" si="74"/>
        <v>1</v>
      </c>
      <c r="G533" s="8">
        <f t="shared" ca="1" si="75"/>
        <v>7363180</v>
      </c>
      <c r="H533" s="8">
        <f t="shared" ca="1" si="76"/>
        <v>7363180</v>
      </c>
      <c r="I533" s="8">
        <f t="shared" ca="1" si="77"/>
        <v>6258703</v>
      </c>
      <c r="J533" s="8">
        <f t="shared" ca="1" si="78"/>
        <v>1104477</v>
      </c>
      <c r="K533" s="6">
        <f t="shared" ca="1" si="79"/>
        <v>0.15</v>
      </c>
      <c r="L533" s="4" t="str" cm="1">
        <f t="array" aca="1" ref="L53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33" s="8">
        <f t="shared" ca="1" si="80"/>
        <v>5889</v>
      </c>
      <c r="N533" s="4" t="str" cm="1">
        <f t="array" aca="1" ref="N533" ca="1">INDEX({"New";"Repeat"}, RANDBETWEEN(1,2))</f>
        <v>Repeat</v>
      </c>
      <c r="O533" s="4" t="str" cm="1">
        <f t="array" aca="1" ref="O533" ca="1">INDEX({"Loan";"Cash";"Lease"}, RANDBETWEEN(1,3))</f>
        <v>Loan</v>
      </c>
    </row>
    <row r="534" spans="1:15" x14ac:dyDescent="0.2">
      <c r="A534" s="4">
        <v>532</v>
      </c>
      <c r="B534" s="5">
        <f t="shared" ca="1" si="72"/>
        <v>45483</v>
      </c>
      <c r="C534" s="4" t="str" cm="1">
        <f t="array" aca="1" ref="C534" ca="1">INDEX({"Cochin";"Delhi";"Mumbai";"Pune";"Bengaluru"}, RANDBETWEEN(1,5))</f>
        <v>Delhi</v>
      </c>
      <c r="D534" s="4" t="str" cm="1">
        <f t="array" aca="1" ref="D534" ca="1">INDEX({"C-Class";"E-Class";"S-Class";"GLA";"GLC";"GLE";"GLS";"EQB"}, RANDBETWEEN(1,8))</f>
        <v>EQB</v>
      </c>
      <c r="E534" s="4" t="str">
        <f t="shared" ca="1" si="73"/>
        <v>EV</v>
      </c>
      <c r="F534" s="4">
        <f t="shared" ca="1" si="74"/>
        <v>1</v>
      </c>
      <c r="G534" s="8">
        <f t="shared" ca="1" si="75"/>
        <v>7549991</v>
      </c>
      <c r="H534" s="8">
        <f t="shared" ca="1" si="76"/>
        <v>7549991</v>
      </c>
      <c r="I534" s="8">
        <f t="shared" ca="1" si="77"/>
        <v>6341992.4400000004</v>
      </c>
      <c r="J534" s="8">
        <f t="shared" ca="1" si="78"/>
        <v>1207998.5599999996</v>
      </c>
      <c r="K534" s="6">
        <f t="shared" ca="1" si="79"/>
        <v>0.15999999999999995</v>
      </c>
      <c r="L534" s="4" t="str" cm="1">
        <f t="array" aca="1" ref="L534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34" s="8">
        <f t="shared" ca="1" si="80"/>
        <v>3793</v>
      </c>
      <c r="N534" s="4" t="str" cm="1">
        <f t="array" aca="1" ref="N534" ca="1">INDEX({"New";"Repeat"}, RANDBETWEEN(1,2))</f>
        <v>Repeat</v>
      </c>
      <c r="O534" s="4" t="str" cm="1">
        <f t="array" aca="1" ref="O534" ca="1">INDEX({"Loan";"Cash";"Lease"}, RANDBETWEEN(1,3))</f>
        <v>Lease</v>
      </c>
    </row>
    <row r="535" spans="1:15" x14ac:dyDescent="0.2">
      <c r="A535" s="4">
        <v>533</v>
      </c>
      <c r="B535" s="5">
        <f t="shared" ca="1" si="72"/>
        <v>45329</v>
      </c>
      <c r="C535" s="4" t="str" cm="1">
        <f t="array" aca="1" ref="C535" ca="1">INDEX({"Cochin";"Delhi";"Mumbai";"Pune";"Bengaluru"}, RANDBETWEEN(1,5))</f>
        <v>Cochin</v>
      </c>
      <c r="D535" s="4" t="str" cm="1">
        <f t="array" aca="1" ref="D535" ca="1">INDEX({"C-Class";"E-Class";"S-Class";"GLA";"GLC";"GLE";"GLS";"EQB"}, RANDBETWEEN(1,8))</f>
        <v>E-Class</v>
      </c>
      <c r="E535" s="4" t="str">
        <f t="shared" ca="1" si="73"/>
        <v>Sedan</v>
      </c>
      <c r="F535" s="4">
        <f t="shared" ca="1" si="74"/>
        <v>1</v>
      </c>
      <c r="G535" s="8">
        <f t="shared" ca="1" si="75"/>
        <v>8225888</v>
      </c>
      <c r="H535" s="8">
        <f t="shared" ca="1" si="76"/>
        <v>8225888</v>
      </c>
      <c r="I535" s="8">
        <f t="shared" ca="1" si="77"/>
        <v>6169416</v>
      </c>
      <c r="J535" s="8">
        <f t="shared" ca="1" si="78"/>
        <v>2056472</v>
      </c>
      <c r="K535" s="6">
        <f t="shared" ca="1" si="79"/>
        <v>0.25</v>
      </c>
      <c r="L535" s="4" t="str" cm="1">
        <f t="array" aca="1" ref="L53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35" s="8">
        <f t="shared" ca="1" si="80"/>
        <v>4914</v>
      </c>
      <c r="N535" s="4" t="str" cm="1">
        <f t="array" aca="1" ref="N535" ca="1">INDEX({"New";"Repeat"}, RANDBETWEEN(1,2))</f>
        <v>Repeat</v>
      </c>
      <c r="O535" s="4" t="str" cm="1">
        <f t="array" aca="1" ref="O535" ca="1">INDEX({"Loan";"Cash";"Lease"}, RANDBETWEEN(1,3))</f>
        <v>Cash</v>
      </c>
    </row>
    <row r="536" spans="1:15" x14ac:dyDescent="0.2">
      <c r="A536" s="4">
        <v>534</v>
      </c>
      <c r="B536" s="5">
        <f t="shared" ca="1" si="72"/>
        <v>45898</v>
      </c>
      <c r="C536" s="4" t="str" cm="1">
        <f t="array" aca="1" ref="C536" ca="1">INDEX({"Cochin";"Delhi";"Mumbai";"Pune";"Bengaluru"}, RANDBETWEEN(1,5))</f>
        <v>Bengaluru</v>
      </c>
      <c r="D536" s="4" t="str" cm="1">
        <f t="array" aca="1" ref="D536" ca="1">INDEX({"C-Class";"E-Class";"S-Class";"GLA";"GLC";"GLE";"GLS";"EQB"}, RANDBETWEEN(1,8))</f>
        <v>C-Class</v>
      </c>
      <c r="E536" s="4" t="str">
        <f t="shared" ca="1" si="73"/>
        <v>Sedan</v>
      </c>
      <c r="F536" s="4">
        <f t="shared" ca="1" si="74"/>
        <v>1</v>
      </c>
      <c r="G536" s="8">
        <f t="shared" ca="1" si="75"/>
        <v>5729113</v>
      </c>
      <c r="H536" s="8">
        <f t="shared" ca="1" si="76"/>
        <v>5729113</v>
      </c>
      <c r="I536" s="8">
        <f t="shared" ca="1" si="77"/>
        <v>4296834.75</v>
      </c>
      <c r="J536" s="8">
        <f t="shared" ca="1" si="78"/>
        <v>1432278.25</v>
      </c>
      <c r="K536" s="6">
        <f t="shared" ca="1" si="79"/>
        <v>0.25</v>
      </c>
      <c r="L536" s="4" t="str" cm="1">
        <f t="array" aca="1" ref="L53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36" s="8">
        <f t="shared" ca="1" si="80"/>
        <v>18057</v>
      </c>
      <c r="N536" s="4" t="str" cm="1">
        <f t="array" aca="1" ref="N536" ca="1">INDEX({"New";"Repeat"}, RANDBETWEEN(1,2))</f>
        <v>New</v>
      </c>
      <c r="O536" s="4" t="str" cm="1">
        <f t="array" aca="1" ref="O536" ca="1">INDEX({"Loan";"Cash";"Lease"}, RANDBETWEEN(1,3))</f>
        <v>Loan</v>
      </c>
    </row>
    <row r="537" spans="1:15" x14ac:dyDescent="0.2">
      <c r="A537" s="4">
        <v>535</v>
      </c>
      <c r="B537" s="5">
        <f t="shared" ca="1" si="72"/>
        <v>45885</v>
      </c>
      <c r="C537" s="4" t="str" cm="1">
        <f t="array" aca="1" ref="C537" ca="1">INDEX({"Cochin";"Delhi";"Mumbai";"Pune";"Bengaluru"}, RANDBETWEEN(1,5))</f>
        <v>Cochin</v>
      </c>
      <c r="D537" s="4" t="str" cm="1">
        <f t="array" aca="1" ref="D537" ca="1">INDEX({"C-Class";"E-Class";"S-Class";"GLA";"GLC";"GLE";"GLS";"EQB"}, RANDBETWEEN(1,8))</f>
        <v>E-Class</v>
      </c>
      <c r="E537" s="4" t="str">
        <f t="shared" ca="1" si="73"/>
        <v>Sedan</v>
      </c>
      <c r="F537" s="4">
        <f t="shared" ca="1" si="74"/>
        <v>3</v>
      </c>
      <c r="G537" s="8">
        <f t="shared" ca="1" si="75"/>
        <v>8884133</v>
      </c>
      <c r="H537" s="8">
        <f t="shared" ca="1" si="76"/>
        <v>26652399</v>
      </c>
      <c r="I537" s="8">
        <f t="shared" ca="1" si="77"/>
        <v>19989299.25</v>
      </c>
      <c r="J537" s="8">
        <f t="shared" ca="1" si="78"/>
        <v>6663099.75</v>
      </c>
      <c r="K537" s="6">
        <f t="shared" ca="1" si="79"/>
        <v>0.25</v>
      </c>
      <c r="L537" s="4" t="str" cm="1">
        <f t="array" aca="1" ref="L53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37" s="8">
        <f t="shared" ca="1" si="80"/>
        <v>7323</v>
      </c>
      <c r="N537" s="4" t="str" cm="1">
        <f t="array" aca="1" ref="N537" ca="1">INDEX({"New";"Repeat"}, RANDBETWEEN(1,2))</f>
        <v>Repeat</v>
      </c>
      <c r="O537" s="4" t="str" cm="1">
        <f t="array" aca="1" ref="O537" ca="1">INDEX({"Loan";"Cash";"Lease"}, RANDBETWEEN(1,3))</f>
        <v>Cash</v>
      </c>
    </row>
    <row r="538" spans="1:15" x14ac:dyDescent="0.2">
      <c r="A538" s="4">
        <v>536</v>
      </c>
      <c r="B538" s="5">
        <f t="shared" ca="1" si="72"/>
        <v>45369</v>
      </c>
      <c r="C538" s="4" t="str" cm="1">
        <f t="array" aca="1" ref="C538" ca="1">INDEX({"Cochin";"Delhi";"Mumbai";"Pune";"Bengaluru"}, RANDBETWEEN(1,5))</f>
        <v>Bengaluru</v>
      </c>
      <c r="D538" s="4" t="str" cm="1">
        <f t="array" aca="1" ref="D538" ca="1">INDEX({"C-Class";"E-Class";"S-Class";"GLA";"GLC";"GLE";"GLS";"EQB"}, RANDBETWEEN(1,8))</f>
        <v>GLS</v>
      </c>
      <c r="E538" s="4" t="str">
        <f t="shared" ca="1" si="73"/>
        <v>SUV</v>
      </c>
      <c r="F538" s="4">
        <f t="shared" ca="1" si="74"/>
        <v>5</v>
      </c>
      <c r="G538" s="8">
        <f t="shared" ca="1" si="75"/>
        <v>17623471</v>
      </c>
      <c r="H538" s="8">
        <f t="shared" ca="1" si="76"/>
        <v>88117355</v>
      </c>
      <c r="I538" s="8">
        <f t="shared" ca="1" si="77"/>
        <v>64325669.149999999</v>
      </c>
      <c r="J538" s="8">
        <f t="shared" ca="1" si="78"/>
        <v>23791685.850000001</v>
      </c>
      <c r="K538" s="6">
        <f t="shared" ca="1" si="79"/>
        <v>0.27</v>
      </c>
      <c r="L538" s="4" t="str" cm="1">
        <f t="array" aca="1" ref="L538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38" s="8">
        <f t="shared" ca="1" si="80"/>
        <v>22484</v>
      </c>
      <c r="N538" s="4" t="str" cm="1">
        <f t="array" aca="1" ref="N538" ca="1">INDEX({"New";"Repeat"}, RANDBETWEEN(1,2))</f>
        <v>New</v>
      </c>
      <c r="O538" s="4" t="str" cm="1">
        <f t="array" aca="1" ref="O538" ca="1">INDEX({"Loan";"Cash";"Lease"}, RANDBETWEEN(1,3))</f>
        <v>Lease</v>
      </c>
    </row>
    <row r="539" spans="1:15" x14ac:dyDescent="0.2">
      <c r="A539" s="4">
        <v>537</v>
      </c>
      <c r="B539" s="5">
        <f t="shared" ca="1" si="72"/>
        <v>44933</v>
      </c>
      <c r="C539" s="4" t="str" cm="1">
        <f t="array" aca="1" ref="C539" ca="1">INDEX({"Cochin";"Delhi";"Mumbai";"Pune";"Bengaluru"}, RANDBETWEEN(1,5))</f>
        <v>Cochin</v>
      </c>
      <c r="D539" s="4" t="str" cm="1">
        <f t="array" aca="1" ref="D539" ca="1">INDEX({"C-Class";"E-Class";"S-Class";"GLA";"GLC";"GLE";"GLS";"EQB"}, RANDBETWEEN(1,8))</f>
        <v>E-Class</v>
      </c>
      <c r="E539" s="4" t="str">
        <f t="shared" ca="1" si="73"/>
        <v>Sedan</v>
      </c>
      <c r="F539" s="4">
        <f t="shared" ca="1" si="74"/>
        <v>1</v>
      </c>
      <c r="G539" s="8">
        <f t="shared" ca="1" si="75"/>
        <v>7973520</v>
      </c>
      <c r="H539" s="8">
        <f t="shared" ca="1" si="76"/>
        <v>7973520</v>
      </c>
      <c r="I539" s="8">
        <f t="shared" ca="1" si="77"/>
        <v>5740934.4000000004</v>
      </c>
      <c r="J539" s="8">
        <f t="shared" ca="1" si="78"/>
        <v>2232585.5999999996</v>
      </c>
      <c r="K539" s="6">
        <f t="shared" ca="1" si="79"/>
        <v>0.27999999999999997</v>
      </c>
      <c r="L539" s="4" t="str" cm="1">
        <f t="array" aca="1" ref="L539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39" s="8">
        <f t="shared" ca="1" si="80"/>
        <v>17596</v>
      </c>
      <c r="N539" s="4" t="str" cm="1">
        <f t="array" aca="1" ref="N539" ca="1">INDEX({"New";"Repeat"}, RANDBETWEEN(1,2))</f>
        <v>New</v>
      </c>
      <c r="O539" s="4" t="str" cm="1">
        <f t="array" aca="1" ref="O539" ca="1">INDEX({"Loan";"Cash";"Lease"}, RANDBETWEEN(1,3))</f>
        <v>Cash</v>
      </c>
    </row>
    <row r="540" spans="1:15" x14ac:dyDescent="0.2">
      <c r="A540" s="4">
        <v>538</v>
      </c>
      <c r="B540" s="5">
        <f t="shared" ca="1" si="72"/>
        <v>45779</v>
      </c>
      <c r="C540" s="4" t="str" cm="1">
        <f t="array" aca="1" ref="C540" ca="1">INDEX({"Cochin";"Delhi";"Mumbai";"Pune";"Bengaluru"}, RANDBETWEEN(1,5))</f>
        <v>Cochin</v>
      </c>
      <c r="D540" s="4" t="str" cm="1">
        <f t="array" aca="1" ref="D540" ca="1">INDEX({"C-Class";"E-Class";"S-Class";"GLA";"GLC";"GLE";"GLS";"EQB"}, RANDBETWEEN(1,8))</f>
        <v>E-Class</v>
      </c>
      <c r="E540" s="4" t="str">
        <f t="shared" ca="1" si="73"/>
        <v>Sedan</v>
      </c>
      <c r="F540" s="4">
        <f t="shared" ca="1" si="74"/>
        <v>1</v>
      </c>
      <c r="G540" s="8">
        <f t="shared" ca="1" si="75"/>
        <v>9401991</v>
      </c>
      <c r="H540" s="8">
        <f t="shared" ca="1" si="76"/>
        <v>9401991</v>
      </c>
      <c r="I540" s="8">
        <f t="shared" ca="1" si="77"/>
        <v>7991692.3499999996</v>
      </c>
      <c r="J540" s="8">
        <f t="shared" ca="1" si="78"/>
        <v>1410298.6500000004</v>
      </c>
      <c r="K540" s="6">
        <f t="shared" ca="1" si="79"/>
        <v>0.15000000000000005</v>
      </c>
      <c r="L540" s="4" t="str" cm="1">
        <f t="array" aca="1" ref="L54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540" s="8">
        <f t="shared" ca="1" si="80"/>
        <v>4098</v>
      </c>
      <c r="N540" s="4" t="str" cm="1">
        <f t="array" aca="1" ref="N540" ca="1">INDEX({"New";"Repeat"}, RANDBETWEEN(1,2))</f>
        <v>Repeat</v>
      </c>
      <c r="O540" s="4" t="str" cm="1">
        <f t="array" aca="1" ref="O540" ca="1">INDEX({"Loan";"Cash";"Lease"}, RANDBETWEEN(1,3))</f>
        <v>Loan</v>
      </c>
    </row>
    <row r="541" spans="1:15" x14ac:dyDescent="0.2">
      <c r="A541" s="4">
        <v>539</v>
      </c>
      <c r="B541" s="5">
        <f t="shared" ca="1" si="72"/>
        <v>45270</v>
      </c>
      <c r="C541" s="4" t="str" cm="1">
        <f t="array" aca="1" ref="C541" ca="1">INDEX({"Cochin";"Delhi";"Mumbai";"Pune";"Bengaluru"}, RANDBETWEEN(1,5))</f>
        <v>Cochin</v>
      </c>
      <c r="D541" s="4" t="str" cm="1">
        <f t="array" aca="1" ref="D541" ca="1">INDEX({"C-Class";"E-Class";"S-Class";"GLA";"GLC";"GLE";"GLS";"EQB"}, RANDBETWEEN(1,8))</f>
        <v>E-Class</v>
      </c>
      <c r="E541" s="4" t="str">
        <f t="shared" ca="1" si="73"/>
        <v>Sedan</v>
      </c>
      <c r="F541" s="4">
        <f t="shared" ca="1" si="74"/>
        <v>1</v>
      </c>
      <c r="G541" s="8">
        <f t="shared" ca="1" si="75"/>
        <v>8056374</v>
      </c>
      <c r="H541" s="8">
        <f t="shared" ca="1" si="76"/>
        <v>8056374</v>
      </c>
      <c r="I541" s="8">
        <f t="shared" ca="1" si="77"/>
        <v>6203407.9800000004</v>
      </c>
      <c r="J541" s="8">
        <f t="shared" ca="1" si="78"/>
        <v>1852966.0199999996</v>
      </c>
      <c r="K541" s="6">
        <f t="shared" ca="1" si="79"/>
        <v>0.22999999999999995</v>
      </c>
      <c r="L541" s="4" t="str" cm="1">
        <f t="array" aca="1" ref="L54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41" s="8">
        <f t="shared" ca="1" si="80"/>
        <v>21278</v>
      </c>
      <c r="N541" s="4" t="str" cm="1">
        <f t="array" aca="1" ref="N541" ca="1">INDEX({"New";"Repeat"}, RANDBETWEEN(1,2))</f>
        <v>New</v>
      </c>
      <c r="O541" s="4" t="str" cm="1">
        <f t="array" aca="1" ref="O541" ca="1">INDEX({"Loan";"Cash";"Lease"}, RANDBETWEEN(1,3))</f>
        <v>Lease</v>
      </c>
    </row>
    <row r="542" spans="1:15" x14ac:dyDescent="0.2">
      <c r="A542" s="4">
        <v>540</v>
      </c>
      <c r="B542" s="5">
        <f t="shared" ca="1" si="72"/>
        <v>45185</v>
      </c>
      <c r="C542" s="4" t="str" cm="1">
        <f t="array" aca="1" ref="C542" ca="1">INDEX({"Cochin";"Delhi";"Mumbai";"Pune";"Bengaluru"}, RANDBETWEEN(1,5))</f>
        <v>Mumbai</v>
      </c>
      <c r="D542" s="4" t="str" cm="1">
        <f t="array" aca="1" ref="D542" ca="1">INDEX({"C-Class";"E-Class";"S-Class";"GLA";"GLC";"GLE";"GLS";"EQB"}, RANDBETWEEN(1,8))</f>
        <v>GLC</v>
      </c>
      <c r="E542" s="4" t="str">
        <f t="shared" ca="1" si="73"/>
        <v>SUV</v>
      </c>
      <c r="F542" s="4">
        <f t="shared" ca="1" si="74"/>
        <v>1</v>
      </c>
      <c r="G542" s="8">
        <f t="shared" ca="1" si="75"/>
        <v>7463967</v>
      </c>
      <c r="H542" s="8">
        <f t="shared" ca="1" si="76"/>
        <v>7463967</v>
      </c>
      <c r="I542" s="8">
        <f t="shared" ca="1" si="77"/>
        <v>6195092.6100000003</v>
      </c>
      <c r="J542" s="8">
        <f t="shared" ca="1" si="78"/>
        <v>1268874.3899999997</v>
      </c>
      <c r="K542" s="6">
        <f t="shared" ca="1" si="79"/>
        <v>0.16999999999999996</v>
      </c>
      <c r="L542" s="4" t="str" cm="1">
        <f t="array" aca="1" ref="L54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42" s="8">
        <f t="shared" ca="1" si="80"/>
        <v>22551</v>
      </c>
      <c r="N542" s="4" t="str" cm="1">
        <f t="array" aca="1" ref="N542" ca="1">INDEX({"New";"Repeat"}, RANDBETWEEN(1,2))</f>
        <v>New</v>
      </c>
      <c r="O542" s="4" t="str" cm="1">
        <f t="array" aca="1" ref="O542" ca="1">INDEX({"Loan";"Cash";"Lease"}, RANDBETWEEN(1,3))</f>
        <v>Lease</v>
      </c>
    </row>
    <row r="543" spans="1:15" x14ac:dyDescent="0.2">
      <c r="A543" s="4">
        <v>541</v>
      </c>
      <c r="B543" s="5">
        <f t="shared" ca="1" si="72"/>
        <v>45427</v>
      </c>
      <c r="C543" s="4" t="str" cm="1">
        <f t="array" aca="1" ref="C543" ca="1">INDEX({"Cochin";"Delhi";"Mumbai";"Pune";"Bengaluru"}, RANDBETWEEN(1,5))</f>
        <v>Mumbai</v>
      </c>
      <c r="D543" s="4" t="str" cm="1">
        <f t="array" aca="1" ref="D543" ca="1">INDEX({"C-Class";"E-Class";"S-Class";"GLA";"GLC";"GLE";"GLS";"EQB"}, RANDBETWEEN(1,8))</f>
        <v>EQB</v>
      </c>
      <c r="E543" s="4" t="str">
        <f t="shared" ca="1" si="73"/>
        <v>EV</v>
      </c>
      <c r="F543" s="4">
        <f t="shared" ca="1" si="74"/>
        <v>2</v>
      </c>
      <c r="G543" s="8">
        <f t="shared" ca="1" si="75"/>
        <v>7322369</v>
      </c>
      <c r="H543" s="8">
        <f t="shared" ca="1" si="76"/>
        <v>14644738</v>
      </c>
      <c r="I543" s="8">
        <f t="shared" ca="1" si="77"/>
        <v>10690658.74</v>
      </c>
      <c r="J543" s="8">
        <f t="shared" ca="1" si="78"/>
        <v>3954079.26</v>
      </c>
      <c r="K543" s="6">
        <f t="shared" ca="1" si="79"/>
        <v>0.26999999999999996</v>
      </c>
      <c r="L543" s="4" t="str" cm="1">
        <f t="array" aca="1" ref="L543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43" s="8">
        <f t="shared" ca="1" si="80"/>
        <v>7972</v>
      </c>
      <c r="N543" s="4" t="str" cm="1">
        <f t="array" aca="1" ref="N543" ca="1">INDEX({"New";"Repeat"}, RANDBETWEEN(1,2))</f>
        <v>Repeat</v>
      </c>
      <c r="O543" s="4" t="str" cm="1">
        <f t="array" aca="1" ref="O543" ca="1">INDEX({"Loan";"Cash";"Lease"}, RANDBETWEEN(1,3))</f>
        <v>Lease</v>
      </c>
    </row>
    <row r="544" spans="1:15" x14ac:dyDescent="0.2">
      <c r="A544" s="4">
        <v>542</v>
      </c>
      <c r="B544" s="5">
        <f t="shared" ca="1" si="72"/>
        <v>45862</v>
      </c>
      <c r="C544" s="4" t="str" cm="1">
        <f t="array" aca="1" ref="C544" ca="1">INDEX({"Cochin";"Delhi";"Mumbai";"Pune";"Bengaluru"}, RANDBETWEEN(1,5))</f>
        <v>Mumbai</v>
      </c>
      <c r="D544" s="4" t="str" cm="1">
        <f t="array" aca="1" ref="D544" ca="1">INDEX({"C-Class";"E-Class";"S-Class";"GLA";"GLC";"GLE";"GLS";"EQB"}, RANDBETWEEN(1,8))</f>
        <v>C-Class</v>
      </c>
      <c r="E544" s="4" t="str">
        <f t="shared" ca="1" si="73"/>
        <v>Sedan</v>
      </c>
      <c r="F544" s="4">
        <f t="shared" ca="1" si="74"/>
        <v>3</v>
      </c>
      <c r="G544" s="8">
        <f t="shared" ca="1" si="75"/>
        <v>6090840</v>
      </c>
      <c r="H544" s="8">
        <f t="shared" ca="1" si="76"/>
        <v>18272520</v>
      </c>
      <c r="I544" s="8">
        <f t="shared" ca="1" si="77"/>
        <v>13704390</v>
      </c>
      <c r="J544" s="8">
        <f t="shared" ca="1" si="78"/>
        <v>4568130</v>
      </c>
      <c r="K544" s="6">
        <f t="shared" ca="1" si="79"/>
        <v>0.25</v>
      </c>
      <c r="L544" s="4" t="str" cm="1">
        <f t="array" aca="1" ref="L54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44" s="8">
        <f t="shared" ca="1" si="80"/>
        <v>15584</v>
      </c>
      <c r="N544" s="4" t="str" cm="1">
        <f t="array" aca="1" ref="N544" ca="1">INDEX({"New";"Repeat"}, RANDBETWEEN(1,2))</f>
        <v>New</v>
      </c>
      <c r="O544" s="4" t="str" cm="1">
        <f t="array" aca="1" ref="O544" ca="1">INDEX({"Loan";"Cash";"Lease"}, RANDBETWEEN(1,3))</f>
        <v>Loan</v>
      </c>
    </row>
    <row r="545" spans="1:15" x14ac:dyDescent="0.2">
      <c r="A545" s="4">
        <v>543</v>
      </c>
      <c r="B545" s="5">
        <f t="shared" ca="1" si="72"/>
        <v>45758</v>
      </c>
      <c r="C545" s="4" t="str" cm="1">
        <f t="array" aca="1" ref="C545" ca="1">INDEX({"Cochin";"Delhi";"Mumbai";"Pune";"Bengaluru"}, RANDBETWEEN(1,5))</f>
        <v>Mumbai</v>
      </c>
      <c r="D545" s="4" t="str" cm="1">
        <f t="array" aca="1" ref="D545" ca="1">INDEX({"C-Class";"E-Class";"S-Class";"GLA";"GLC";"GLE";"GLS";"EQB"}, RANDBETWEEN(1,8))</f>
        <v>GLE</v>
      </c>
      <c r="E545" s="4" t="str">
        <f t="shared" ca="1" si="73"/>
        <v>SUV</v>
      </c>
      <c r="F545" s="4">
        <f t="shared" ca="1" si="74"/>
        <v>4</v>
      </c>
      <c r="G545" s="8">
        <f t="shared" ca="1" si="75"/>
        <v>12631043</v>
      </c>
      <c r="H545" s="8">
        <f t="shared" ca="1" si="76"/>
        <v>50524172</v>
      </c>
      <c r="I545" s="8">
        <f t="shared" ca="1" si="77"/>
        <v>35872162.119999997</v>
      </c>
      <c r="J545" s="8">
        <f t="shared" ca="1" si="78"/>
        <v>14652009.880000003</v>
      </c>
      <c r="K545" s="6">
        <f t="shared" ca="1" si="79"/>
        <v>0.29000000000000004</v>
      </c>
      <c r="L545" s="4" t="str" cm="1">
        <f t="array" aca="1" ref="L54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45" s="8">
        <f t="shared" ca="1" si="80"/>
        <v>7741</v>
      </c>
      <c r="N545" s="4" t="str" cm="1">
        <f t="array" aca="1" ref="N545" ca="1">INDEX({"New";"Repeat"}, RANDBETWEEN(1,2))</f>
        <v>Repeat</v>
      </c>
      <c r="O545" s="4" t="str" cm="1">
        <f t="array" aca="1" ref="O545" ca="1">INDEX({"Loan";"Cash";"Lease"}, RANDBETWEEN(1,3))</f>
        <v>Loan</v>
      </c>
    </row>
    <row r="546" spans="1:15" x14ac:dyDescent="0.2">
      <c r="A546" s="4">
        <v>544</v>
      </c>
      <c r="B546" s="5">
        <f t="shared" ca="1" si="72"/>
        <v>45527</v>
      </c>
      <c r="C546" s="4" t="str" cm="1">
        <f t="array" aca="1" ref="C546" ca="1">INDEX({"Cochin";"Delhi";"Mumbai";"Pune";"Bengaluru"}, RANDBETWEEN(1,5))</f>
        <v>Bengaluru</v>
      </c>
      <c r="D546" s="4" t="str" cm="1">
        <f t="array" aca="1" ref="D546" ca="1">INDEX({"C-Class";"E-Class";"S-Class";"GLA";"GLC";"GLE";"GLS";"EQB"}, RANDBETWEEN(1,8))</f>
        <v>S-Class</v>
      </c>
      <c r="E546" s="4" t="str">
        <f t="shared" ca="1" si="73"/>
        <v>Sedan</v>
      </c>
      <c r="F546" s="4">
        <f t="shared" ca="1" si="74"/>
        <v>1</v>
      </c>
      <c r="G546" s="8">
        <f t="shared" ca="1" si="75"/>
        <v>22915578</v>
      </c>
      <c r="H546" s="8">
        <f t="shared" ca="1" si="76"/>
        <v>22915578</v>
      </c>
      <c r="I546" s="8">
        <f t="shared" ca="1" si="77"/>
        <v>16499216.16</v>
      </c>
      <c r="J546" s="8">
        <f t="shared" ca="1" si="78"/>
        <v>6416361.8399999999</v>
      </c>
      <c r="K546" s="6">
        <f t="shared" ca="1" si="79"/>
        <v>0.27999999999999997</v>
      </c>
      <c r="L546" s="4" t="str" cm="1">
        <f t="array" aca="1" ref="L54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546" s="8">
        <f t="shared" ca="1" si="80"/>
        <v>3763</v>
      </c>
      <c r="N546" s="4" t="str" cm="1">
        <f t="array" aca="1" ref="N546" ca="1">INDEX({"New";"Repeat"}, RANDBETWEEN(1,2))</f>
        <v>Repeat</v>
      </c>
      <c r="O546" s="4" t="str" cm="1">
        <f t="array" aca="1" ref="O546" ca="1">INDEX({"Loan";"Cash";"Lease"}, RANDBETWEEN(1,3))</f>
        <v>Loan</v>
      </c>
    </row>
    <row r="547" spans="1:15" x14ac:dyDescent="0.2">
      <c r="A547" s="4">
        <v>545</v>
      </c>
      <c r="B547" s="5">
        <f t="shared" ca="1" si="72"/>
        <v>45165</v>
      </c>
      <c r="C547" s="4" t="str" cm="1">
        <f t="array" aca="1" ref="C547" ca="1">INDEX({"Cochin";"Delhi";"Mumbai";"Pune";"Bengaluru"}, RANDBETWEEN(1,5))</f>
        <v>Delhi</v>
      </c>
      <c r="D547" s="4" t="str" cm="1">
        <f t="array" aca="1" ref="D547" ca="1">INDEX({"C-Class";"E-Class";"S-Class";"GLA";"GLC";"GLE";"GLS";"EQB"}, RANDBETWEEN(1,8))</f>
        <v>GLE</v>
      </c>
      <c r="E547" s="4" t="str">
        <f t="shared" ca="1" si="73"/>
        <v>SUV</v>
      </c>
      <c r="F547" s="4">
        <f t="shared" ca="1" si="74"/>
        <v>3</v>
      </c>
      <c r="G547" s="8">
        <f t="shared" ca="1" si="75"/>
        <v>12500462</v>
      </c>
      <c r="H547" s="8">
        <f t="shared" ca="1" si="76"/>
        <v>37501386</v>
      </c>
      <c r="I547" s="8">
        <f t="shared" ca="1" si="77"/>
        <v>27000997.920000002</v>
      </c>
      <c r="J547" s="8">
        <f t="shared" ca="1" si="78"/>
        <v>10500388.079999998</v>
      </c>
      <c r="K547" s="6">
        <f t="shared" ca="1" si="79"/>
        <v>0.27999999999999997</v>
      </c>
      <c r="L547" s="4" t="str" cm="1">
        <f t="array" aca="1" ref="L54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47" s="8">
        <f t="shared" ca="1" si="80"/>
        <v>24741</v>
      </c>
      <c r="N547" s="4" t="str" cm="1">
        <f t="array" aca="1" ref="N547" ca="1">INDEX({"New";"Repeat"}, RANDBETWEEN(1,2))</f>
        <v>New</v>
      </c>
      <c r="O547" s="4" t="str" cm="1">
        <f t="array" aca="1" ref="O547" ca="1">INDEX({"Loan";"Cash";"Lease"}, RANDBETWEEN(1,3))</f>
        <v>Cash</v>
      </c>
    </row>
    <row r="548" spans="1:15" x14ac:dyDescent="0.2">
      <c r="A548" s="4">
        <v>546</v>
      </c>
      <c r="B548" s="5">
        <f t="shared" ca="1" si="72"/>
        <v>45801</v>
      </c>
      <c r="C548" s="4" t="str" cm="1">
        <f t="array" aca="1" ref="C548" ca="1">INDEX({"Cochin";"Delhi";"Mumbai";"Pune";"Bengaluru"}, RANDBETWEEN(1,5))</f>
        <v>Delhi</v>
      </c>
      <c r="D548" s="4" t="str" cm="1">
        <f t="array" aca="1" ref="D548" ca="1">INDEX({"C-Class";"E-Class";"S-Class";"GLA";"GLC";"GLE";"GLS";"EQB"}, RANDBETWEEN(1,8))</f>
        <v>EQB</v>
      </c>
      <c r="E548" s="4" t="str">
        <f t="shared" ca="1" si="73"/>
        <v>EV</v>
      </c>
      <c r="F548" s="4">
        <f t="shared" ca="1" si="74"/>
        <v>4</v>
      </c>
      <c r="G548" s="8">
        <f t="shared" ca="1" si="75"/>
        <v>7204992</v>
      </c>
      <c r="H548" s="8">
        <f t="shared" ca="1" si="76"/>
        <v>28819968</v>
      </c>
      <c r="I548" s="8">
        <f t="shared" ca="1" si="77"/>
        <v>22191375.359999999</v>
      </c>
      <c r="J548" s="8">
        <f t="shared" ca="1" si="78"/>
        <v>6628592.6400000006</v>
      </c>
      <c r="K548" s="6">
        <f t="shared" ca="1" si="79"/>
        <v>0.23</v>
      </c>
      <c r="L548" s="4" t="str" cm="1">
        <f t="array" aca="1" ref="L54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48" s="8">
        <f t="shared" ca="1" si="80"/>
        <v>4846</v>
      </c>
      <c r="N548" s="4" t="str" cm="1">
        <f t="array" aca="1" ref="N548" ca="1">INDEX({"New";"Repeat"}, RANDBETWEEN(1,2))</f>
        <v>Repeat</v>
      </c>
      <c r="O548" s="4" t="str" cm="1">
        <f t="array" aca="1" ref="O548" ca="1">INDEX({"Loan";"Cash";"Lease"}, RANDBETWEEN(1,3))</f>
        <v>Loan</v>
      </c>
    </row>
    <row r="549" spans="1:15" x14ac:dyDescent="0.2">
      <c r="A549" s="4">
        <v>547</v>
      </c>
      <c r="B549" s="5">
        <f t="shared" ca="1" si="72"/>
        <v>45178</v>
      </c>
      <c r="C549" s="4" t="str" cm="1">
        <f t="array" aca="1" ref="C549" ca="1">INDEX({"Cochin";"Delhi";"Mumbai";"Pune";"Bengaluru"}, RANDBETWEEN(1,5))</f>
        <v>Mumbai</v>
      </c>
      <c r="D549" s="4" t="str" cm="1">
        <f t="array" aca="1" ref="D549" ca="1">INDEX({"C-Class";"E-Class";"S-Class";"GLA";"GLC";"GLE";"GLS";"EQB"}, RANDBETWEEN(1,8))</f>
        <v>S-Class</v>
      </c>
      <c r="E549" s="4" t="str">
        <f t="shared" ca="1" si="73"/>
        <v>Sedan</v>
      </c>
      <c r="F549" s="4">
        <f t="shared" ca="1" si="74"/>
        <v>4</v>
      </c>
      <c r="G549" s="8">
        <f t="shared" ca="1" si="75"/>
        <v>20311142</v>
      </c>
      <c r="H549" s="8">
        <f t="shared" ca="1" si="76"/>
        <v>81244568</v>
      </c>
      <c r="I549" s="8">
        <f t="shared" ca="1" si="77"/>
        <v>56871197.600000001</v>
      </c>
      <c r="J549" s="8">
        <f t="shared" ca="1" si="78"/>
        <v>24373370.399999999</v>
      </c>
      <c r="K549" s="6">
        <f t="shared" ca="1" si="79"/>
        <v>0.3</v>
      </c>
      <c r="L549" s="4" t="str" cm="1">
        <f t="array" aca="1" ref="L549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49" s="8">
        <f t="shared" ca="1" si="80"/>
        <v>19576</v>
      </c>
      <c r="N549" s="4" t="str" cm="1">
        <f t="array" aca="1" ref="N549" ca="1">INDEX({"New";"Repeat"}, RANDBETWEEN(1,2))</f>
        <v>New</v>
      </c>
      <c r="O549" s="4" t="str" cm="1">
        <f t="array" aca="1" ref="O549" ca="1">INDEX({"Loan";"Cash";"Lease"}, RANDBETWEEN(1,3))</f>
        <v>Lease</v>
      </c>
    </row>
    <row r="550" spans="1:15" x14ac:dyDescent="0.2">
      <c r="A550" s="4">
        <v>548</v>
      </c>
      <c r="B550" s="5">
        <f t="shared" ca="1" si="72"/>
        <v>45010</v>
      </c>
      <c r="C550" s="4" t="str" cm="1">
        <f t="array" aca="1" ref="C550" ca="1">INDEX({"Cochin";"Delhi";"Mumbai";"Pune";"Bengaluru"}, RANDBETWEEN(1,5))</f>
        <v>Cochin</v>
      </c>
      <c r="D550" s="4" t="str" cm="1">
        <f t="array" aca="1" ref="D550" ca="1">INDEX({"C-Class";"E-Class";"S-Class";"GLA";"GLC";"GLE";"GLS";"EQB"}, RANDBETWEEN(1,8))</f>
        <v>GLS</v>
      </c>
      <c r="E550" s="4" t="str">
        <f t="shared" ca="1" si="73"/>
        <v>SUV</v>
      </c>
      <c r="F550" s="4">
        <f t="shared" ca="1" si="74"/>
        <v>1</v>
      </c>
      <c r="G550" s="8">
        <f t="shared" ca="1" si="75"/>
        <v>16793493</v>
      </c>
      <c r="H550" s="8">
        <f t="shared" ca="1" si="76"/>
        <v>16793493</v>
      </c>
      <c r="I550" s="8">
        <f t="shared" ca="1" si="77"/>
        <v>12427184.82</v>
      </c>
      <c r="J550" s="8">
        <f t="shared" ca="1" si="78"/>
        <v>4366308.18</v>
      </c>
      <c r="K550" s="6">
        <f t="shared" ca="1" si="79"/>
        <v>0.26</v>
      </c>
      <c r="L550" s="4" t="str" cm="1">
        <f t="array" aca="1" ref="L55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50" s="8">
        <f t="shared" ca="1" si="80"/>
        <v>5711</v>
      </c>
      <c r="N550" s="4" t="str" cm="1">
        <f t="array" aca="1" ref="N550" ca="1">INDEX({"New";"Repeat"}, RANDBETWEEN(1,2))</f>
        <v>Repeat</v>
      </c>
      <c r="O550" s="4" t="str" cm="1">
        <f t="array" aca="1" ref="O550" ca="1">INDEX({"Loan";"Cash";"Lease"}, RANDBETWEEN(1,3))</f>
        <v>Cash</v>
      </c>
    </row>
    <row r="551" spans="1:15" x14ac:dyDescent="0.2">
      <c r="A551" s="4">
        <v>549</v>
      </c>
      <c r="B551" s="5">
        <f t="shared" ca="1" si="72"/>
        <v>45340</v>
      </c>
      <c r="C551" s="4" t="str" cm="1">
        <f t="array" aca="1" ref="C551" ca="1">INDEX({"Cochin";"Delhi";"Mumbai";"Pune";"Bengaluru"}, RANDBETWEEN(1,5))</f>
        <v>Pune</v>
      </c>
      <c r="D551" s="4" t="str" cm="1">
        <f t="array" aca="1" ref="D551" ca="1">INDEX({"C-Class";"E-Class";"S-Class";"GLA";"GLC";"GLE";"GLS";"EQB"}, RANDBETWEEN(1,8))</f>
        <v>C-Class</v>
      </c>
      <c r="E551" s="4" t="str">
        <f t="shared" ca="1" si="73"/>
        <v>Sedan</v>
      </c>
      <c r="F551" s="4">
        <f t="shared" ca="1" si="74"/>
        <v>4</v>
      </c>
      <c r="G551" s="8">
        <f t="shared" ca="1" si="75"/>
        <v>6406867</v>
      </c>
      <c r="H551" s="8">
        <f t="shared" ca="1" si="76"/>
        <v>25627468</v>
      </c>
      <c r="I551" s="8">
        <f t="shared" ca="1" si="77"/>
        <v>19989425.039999999</v>
      </c>
      <c r="J551" s="8">
        <f t="shared" ca="1" si="78"/>
        <v>5638042.9600000009</v>
      </c>
      <c r="K551" s="6">
        <f t="shared" ca="1" si="79"/>
        <v>0.22000000000000003</v>
      </c>
      <c r="L551" s="4" t="str" cm="1">
        <f t="array" aca="1" ref="L551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551" s="8">
        <f t="shared" ca="1" si="80"/>
        <v>3487</v>
      </c>
      <c r="N551" s="4" t="str" cm="1">
        <f t="array" aca="1" ref="N551" ca="1">INDEX({"New";"Repeat"}, RANDBETWEEN(1,2))</f>
        <v>Repeat</v>
      </c>
      <c r="O551" s="4" t="str" cm="1">
        <f t="array" aca="1" ref="O551" ca="1">INDEX({"Loan";"Cash";"Lease"}, RANDBETWEEN(1,3))</f>
        <v>Lease</v>
      </c>
    </row>
    <row r="552" spans="1:15" x14ac:dyDescent="0.2">
      <c r="A552" s="4">
        <v>550</v>
      </c>
      <c r="B552" s="5">
        <f t="shared" ca="1" si="72"/>
        <v>45645</v>
      </c>
      <c r="C552" s="4" t="str" cm="1">
        <f t="array" aca="1" ref="C552" ca="1">INDEX({"Cochin";"Delhi";"Mumbai";"Pune";"Bengaluru"}, RANDBETWEEN(1,5))</f>
        <v>Pune</v>
      </c>
      <c r="D552" s="4" t="str" cm="1">
        <f t="array" aca="1" ref="D552" ca="1">INDEX({"C-Class";"E-Class";"S-Class";"GLA";"GLC";"GLE";"GLS";"EQB"}, RANDBETWEEN(1,8))</f>
        <v>S-Class</v>
      </c>
      <c r="E552" s="4" t="str">
        <f t="shared" ca="1" si="73"/>
        <v>Sedan</v>
      </c>
      <c r="F552" s="4">
        <f t="shared" ca="1" si="74"/>
        <v>3</v>
      </c>
      <c r="G552" s="8">
        <f t="shared" ca="1" si="75"/>
        <v>23401926</v>
      </c>
      <c r="H552" s="8">
        <f t="shared" ca="1" si="76"/>
        <v>70205778</v>
      </c>
      <c r="I552" s="8">
        <f t="shared" ca="1" si="77"/>
        <v>53356391.280000001</v>
      </c>
      <c r="J552" s="8">
        <f t="shared" ca="1" si="78"/>
        <v>16849386.719999999</v>
      </c>
      <c r="K552" s="6">
        <f t="shared" ca="1" si="79"/>
        <v>0.24</v>
      </c>
      <c r="L552" s="4" t="str" cm="1">
        <f t="array" aca="1" ref="L55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52" s="8">
        <f t="shared" ca="1" si="80"/>
        <v>17422</v>
      </c>
      <c r="N552" s="4" t="str" cm="1">
        <f t="array" aca="1" ref="N552" ca="1">INDEX({"New";"Repeat"}, RANDBETWEEN(1,2))</f>
        <v>New</v>
      </c>
      <c r="O552" s="4" t="str" cm="1">
        <f t="array" aca="1" ref="O552" ca="1">INDEX({"Loan";"Cash";"Lease"}, RANDBETWEEN(1,3))</f>
        <v>Loan</v>
      </c>
    </row>
    <row r="553" spans="1:15" x14ac:dyDescent="0.2">
      <c r="A553" s="4">
        <v>551</v>
      </c>
      <c r="B553" s="5">
        <f t="shared" ca="1" si="72"/>
        <v>45774</v>
      </c>
      <c r="C553" s="4" t="str" cm="1">
        <f t="array" aca="1" ref="C553" ca="1">INDEX({"Cochin";"Delhi";"Mumbai";"Pune";"Bengaluru"}, RANDBETWEEN(1,5))</f>
        <v>Cochin</v>
      </c>
      <c r="D553" s="4" t="str" cm="1">
        <f t="array" aca="1" ref="D553" ca="1">INDEX({"C-Class";"E-Class";"S-Class";"GLA";"GLC";"GLE";"GLS";"EQB"}, RANDBETWEEN(1,8))</f>
        <v>E-Class</v>
      </c>
      <c r="E553" s="4" t="str">
        <f t="shared" ca="1" si="73"/>
        <v>Sedan</v>
      </c>
      <c r="F553" s="4">
        <f t="shared" ca="1" si="74"/>
        <v>2</v>
      </c>
      <c r="G553" s="8">
        <f t="shared" ca="1" si="75"/>
        <v>9165801</v>
      </c>
      <c r="H553" s="8">
        <f t="shared" ca="1" si="76"/>
        <v>18331602</v>
      </c>
      <c r="I553" s="8">
        <f t="shared" ca="1" si="77"/>
        <v>14848597.619999999</v>
      </c>
      <c r="J553" s="8">
        <f t="shared" ca="1" si="78"/>
        <v>3483004.3800000008</v>
      </c>
      <c r="K553" s="6">
        <f t="shared" ca="1" si="79"/>
        <v>0.19000000000000006</v>
      </c>
      <c r="L553" s="4" t="str" cm="1">
        <f t="array" aca="1" ref="L55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53" s="8">
        <f t="shared" ca="1" si="80"/>
        <v>7880</v>
      </c>
      <c r="N553" s="4" t="str" cm="1">
        <f t="array" aca="1" ref="N553" ca="1">INDEX({"New";"Repeat"}, RANDBETWEEN(1,2))</f>
        <v>Repeat</v>
      </c>
      <c r="O553" s="4" t="str" cm="1">
        <f t="array" aca="1" ref="O553" ca="1">INDEX({"Loan";"Cash";"Lease"}, RANDBETWEEN(1,3))</f>
        <v>Cash</v>
      </c>
    </row>
    <row r="554" spans="1:15" x14ac:dyDescent="0.2">
      <c r="A554" s="4">
        <v>552</v>
      </c>
      <c r="B554" s="5">
        <f t="shared" ca="1" si="72"/>
        <v>45237</v>
      </c>
      <c r="C554" s="4" t="str" cm="1">
        <f t="array" aca="1" ref="C554" ca="1">INDEX({"Cochin";"Delhi";"Mumbai";"Pune";"Bengaluru"}, RANDBETWEEN(1,5))</f>
        <v>Bengaluru</v>
      </c>
      <c r="D554" s="4" t="str" cm="1">
        <f t="array" aca="1" ref="D554" ca="1">INDEX({"C-Class";"E-Class";"S-Class";"GLA";"GLC";"GLE";"GLS";"EQB"}, RANDBETWEEN(1,8))</f>
        <v>S-Class</v>
      </c>
      <c r="E554" s="4" t="str">
        <f t="shared" ca="1" si="73"/>
        <v>Sedan</v>
      </c>
      <c r="F554" s="4">
        <f t="shared" ca="1" si="74"/>
        <v>3</v>
      </c>
      <c r="G554" s="8">
        <f t="shared" ca="1" si="75"/>
        <v>17427505</v>
      </c>
      <c r="H554" s="8">
        <f t="shared" ca="1" si="76"/>
        <v>52282515</v>
      </c>
      <c r="I554" s="8">
        <f t="shared" ca="1" si="77"/>
        <v>36597760.5</v>
      </c>
      <c r="J554" s="8">
        <f t="shared" ca="1" si="78"/>
        <v>15684754.5</v>
      </c>
      <c r="K554" s="6">
        <f t="shared" ca="1" si="79"/>
        <v>0.3</v>
      </c>
      <c r="L554" s="4" t="str" cm="1">
        <f t="array" aca="1" ref="L55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54" s="8">
        <f t="shared" ca="1" si="80"/>
        <v>17987</v>
      </c>
      <c r="N554" s="4" t="str" cm="1">
        <f t="array" aca="1" ref="N554" ca="1">INDEX({"New";"Repeat"}, RANDBETWEEN(1,2))</f>
        <v>New</v>
      </c>
      <c r="O554" s="4" t="str" cm="1">
        <f t="array" aca="1" ref="O554" ca="1">INDEX({"Loan";"Cash";"Lease"}, RANDBETWEEN(1,3))</f>
        <v>Cash</v>
      </c>
    </row>
    <row r="555" spans="1:15" x14ac:dyDescent="0.2">
      <c r="A555" s="4">
        <v>553</v>
      </c>
      <c r="B555" s="5">
        <f t="shared" ca="1" si="72"/>
        <v>45498</v>
      </c>
      <c r="C555" s="4" t="str" cm="1">
        <f t="array" aca="1" ref="C555" ca="1">INDEX({"Cochin";"Delhi";"Mumbai";"Pune";"Bengaluru"}, RANDBETWEEN(1,5))</f>
        <v>Cochin</v>
      </c>
      <c r="D555" s="4" t="str" cm="1">
        <f t="array" aca="1" ref="D555" ca="1">INDEX({"C-Class";"E-Class";"S-Class";"GLA";"GLC";"GLE";"GLS";"EQB"}, RANDBETWEEN(1,8))</f>
        <v>E-Class</v>
      </c>
      <c r="E555" s="4" t="str">
        <f t="shared" ca="1" si="73"/>
        <v>Sedan</v>
      </c>
      <c r="F555" s="4">
        <f t="shared" ca="1" si="74"/>
        <v>2</v>
      </c>
      <c r="G555" s="8">
        <f t="shared" ca="1" si="75"/>
        <v>8371910</v>
      </c>
      <c r="H555" s="8">
        <f t="shared" ca="1" si="76"/>
        <v>16743820</v>
      </c>
      <c r="I555" s="8">
        <f t="shared" ca="1" si="77"/>
        <v>12055550.4</v>
      </c>
      <c r="J555" s="8">
        <f t="shared" ca="1" si="78"/>
        <v>4688269.5999999996</v>
      </c>
      <c r="K555" s="6">
        <f t="shared" ca="1" si="79"/>
        <v>0.27999999999999997</v>
      </c>
      <c r="L555" s="4" t="str" cm="1">
        <f t="array" aca="1" ref="L55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55" s="8">
        <f t="shared" ca="1" si="80"/>
        <v>18486</v>
      </c>
      <c r="N555" s="4" t="str" cm="1">
        <f t="array" aca="1" ref="N555" ca="1">INDEX({"New";"Repeat"}, RANDBETWEEN(1,2))</f>
        <v>New</v>
      </c>
      <c r="O555" s="4" t="str" cm="1">
        <f t="array" aca="1" ref="O555" ca="1">INDEX({"Loan";"Cash";"Lease"}, RANDBETWEEN(1,3))</f>
        <v>Cash</v>
      </c>
    </row>
    <row r="556" spans="1:15" x14ac:dyDescent="0.2">
      <c r="A556" s="4">
        <v>554</v>
      </c>
      <c r="B556" s="5">
        <f t="shared" ca="1" si="72"/>
        <v>45199</v>
      </c>
      <c r="C556" s="4" t="str" cm="1">
        <f t="array" aca="1" ref="C556" ca="1">INDEX({"Cochin";"Delhi";"Mumbai";"Pune";"Bengaluru"}, RANDBETWEEN(1,5))</f>
        <v>Delhi</v>
      </c>
      <c r="D556" s="4" t="str" cm="1">
        <f t="array" aca="1" ref="D556" ca="1">INDEX({"C-Class";"E-Class";"S-Class";"GLA";"GLC";"GLE";"GLS";"EQB"}, RANDBETWEEN(1,8))</f>
        <v>C-Class</v>
      </c>
      <c r="E556" s="4" t="str">
        <f t="shared" ca="1" si="73"/>
        <v>Sedan</v>
      </c>
      <c r="F556" s="4">
        <f t="shared" ca="1" si="74"/>
        <v>3</v>
      </c>
      <c r="G556" s="8">
        <f t="shared" ca="1" si="75"/>
        <v>6346638</v>
      </c>
      <c r="H556" s="8">
        <f t="shared" ca="1" si="76"/>
        <v>19039914</v>
      </c>
      <c r="I556" s="8">
        <f t="shared" ca="1" si="77"/>
        <v>15612729.48</v>
      </c>
      <c r="J556" s="8">
        <f t="shared" ca="1" si="78"/>
        <v>3427184.5199999996</v>
      </c>
      <c r="K556" s="6">
        <f t="shared" ca="1" si="79"/>
        <v>0.17999999999999997</v>
      </c>
      <c r="L556" s="4" t="str" cm="1">
        <f t="array" aca="1" ref="L55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56" s="8">
        <f t="shared" ca="1" si="80"/>
        <v>12210</v>
      </c>
      <c r="N556" s="4" t="str" cm="1">
        <f t="array" aca="1" ref="N556" ca="1">INDEX({"New";"Repeat"}, RANDBETWEEN(1,2))</f>
        <v>New</v>
      </c>
      <c r="O556" s="4" t="str" cm="1">
        <f t="array" aca="1" ref="O556" ca="1">INDEX({"Loan";"Cash";"Lease"}, RANDBETWEEN(1,3))</f>
        <v>Cash</v>
      </c>
    </row>
    <row r="557" spans="1:15" x14ac:dyDescent="0.2">
      <c r="A557" s="4">
        <v>555</v>
      </c>
      <c r="B557" s="5">
        <f t="shared" ca="1" si="72"/>
        <v>45128</v>
      </c>
      <c r="C557" s="4" t="str" cm="1">
        <f t="array" aca="1" ref="C557" ca="1">INDEX({"Cochin";"Delhi";"Mumbai";"Pune";"Bengaluru"}, RANDBETWEEN(1,5))</f>
        <v>Cochin</v>
      </c>
      <c r="D557" s="4" t="str" cm="1">
        <f t="array" aca="1" ref="D557" ca="1">INDEX({"C-Class";"E-Class";"S-Class";"GLA";"GLC";"GLE";"GLS";"EQB"}, RANDBETWEEN(1,8))</f>
        <v>EQB</v>
      </c>
      <c r="E557" s="4" t="str">
        <f t="shared" ca="1" si="73"/>
        <v>EV</v>
      </c>
      <c r="F557" s="4">
        <f t="shared" ca="1" si="74"/>
        <v>5</v>
      </c>
      <c r="G557" s="8">
        <f t="shared" ca="1" si="75"/>
        <v>7309463</v>
      </c>
      <c r="H557" s="8">
        <f t="shared" ca="1" si="76"/>
        <v>36547315</v>
      </c>
      <c r="I557" s="8">
        <f t="shared" ca="1" si="77"/>
        <v>28506905.699999999</v>
      </c>
      <c r="J557" s="8">
        <f t="shared" ca="1" si="78"/>
        <v>8040409.3000000007</v>
      </c>
      <c r="K557" s="6">
        <f t="shared" ca="1" si="79"/>
        <v>0.22000000000000003</v>
      </c>
      <c r="L557" s="4" t="str" cm="1">
        <f t="array" aca="1" ref="L55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57" s="8">
        <f t="shared" ca="1" si="80"/>
        <v>5218</v>
      </c>
      <c r="N557" s="4" t="str" cm="1">
        <f t="array" aca="1" ref="N557" ca="1">INDEX({"New";"Repeat"}, RANDBETWEEN(1,2))</f>
        <v>Repeat</v>
      </c>
      <c r="O557" s="4" t="str" cm="1">
        <f t="array" aca="1" ref="O557" ca="1">INDEX({"Loan";"Cash";"Lease"}, RANDBETWEEN(1,3))</f>
        <v>Cash</v>
      </c>
    </row>
    <row r="558" spans="1:15" x14ac:dyDescent="0.2">
      <c r="A558" s="4">
        <v>556</v>
      </c>
      <c r="B558" s="5">
        <f t="shared" ca="1" si="72"/>
        <v>45848</v>
      </c>
      <c r="C558" s="4" t="str" cm="1">
        <f t="array" aca="1" ref="C558" ca="1">INDEX({"Cochin";"Delhi";"Mumbai";"Pune";"Bengaluru"}, RANDBETWEEN(1,5))</f>
        <v>Mumbai</v>
      </c>
      <c r="D558" s="4" t="str" cm="1">
        <f t="array" aca="1" ref="D558" ca="1">INDEX({"C-Class";"E-Class";"S-Class";"GLA";"GLC";"GLE";"GLS";"EQB"}, RANDBETWEEN(1,8))</f>
        <v>C-Class</v>
      </c>
      <c r="E558" s="4" t="str">
        <f t="shared" ca="1" si="73"/>
        <v>Sedan</v>
      </c>
      <c r="F558" s="4">
        <f t="shared" ca="1" si="74"/>
        <v>2</v>
      </c>
      <c r="G558" s="8">
        <f t="shared" ca="1" si="75"/>
        <v>5815703</v>
      </c>
      <c r="H558" s="8">
        <f t="shared" ca="1" si="76"/>
        <v>11631406</v>
      </c>
      <c r="I558" s="8">
        <f t="shared" ca="1" si="77"/>
        <v>8723554.5</v>
      </c>
      <c r="J558" s="8">
        <f t="shared" ca="1" si="78"/>
        <v>2907851.5</v>
      </c>
      <c r="K558" s="6">
        <f t="shared" ca="1" si="79"/>
        <v>0.25</v>
      </c>
      <c r="L558" s="4" t="str" cm="1">
        <f t="array" aca="1" ref="L55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58" s="8">
        <f t="shared" ca="1" si="80"/>
        <v>4547</v>
      </c>
      <c r="N558" s="4" t="str" cm="1">
        <f t="array" aca="1" ref="N558" ca="1">INDEX({"New";"Repeat"}, RANDBETWEEN(1,2))</f>
        <v>Repeat</v>
      </c>
      <c r="O558" s="4" t="str" cm="1">
        <f t="array" aca="1" ref="O558" ca="1">INDEX({"Loan";"Cash";"Lease"}, RANDBETWEEN(1,3))</f>
        <v>Lease</v>
      </c>
    </row>
    <row r="559" spans="1:15" x14ac:dyDescent="0.2">
      <c r="A559" s="4">
        <v>557</v>
      </c>
      <c r="B559" s="5">
        <f t="shared" ca="1" si="72"/>
        <v>45197</v>
      </c>
      <c r="C559" s="4" t="str" cm="1">
        <f t="array" aca="1" ref="C559" ca="1">INDEX({"Cochin";"Delhi";"Mumbai";"Pune";"Bengaluru"}, RANDBETWEEN(1,5))</f>
        <v>Mumbai</v>
      </c>
      <c r="D559" s="4" t="str" cm="1">
        <f t="array" aca="1" ref="D559" ca="1">INDEX({"C-Class";"E-Class";"S-Class";"GLA";"GLC";"GLE";"GLS";"EQB"}, RANDBETWEEN(1,8))</f>
        <v>GLC</v>
      </c>
      <c r="E559" s="4" t="str">
        <f t="shared" ca="1" si="73"/>
        <v>SUV</v>
      </c>
      <c r="F559" s="4">
        <f t="shared" ca="1" si="74"/>
        <v>3</v>
      </c>
      <c r="G559" s="8">
        <f t="shared" ca="1" si="75"/>
        <v>7246754</v>
      </c>
      <c r="H559" s="8">
        <f t="shared" ca="1" si="76"/>
        <v>21740262</v>
      </c>
      <c r="I559" s="8">
        <f t="shared" ca="1" si="77"/>
        <v>16305196.5</v>
      </c>
      <c r="J559" s="8">
        <f t="shared" ca="1" si="78"/>
        <v>5435065.5</v>
      </c>
      <c r="K559" s="6">
        <f t="shared" ca="1" si="79"/>
        <v>0.25</v>
      </c>
      <c r="L559" s="4" t="str" cm="1">
        <f t="array" aca="1" ref="L55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59" s="8">
        <f t="shared" ca="1" si="80"/>
        <v>4978</v>
      </c>
      <c r="N559" s="4" t="str" cm="1">
        <f t="array" aca="1" ref="N559" ca="1">INDEX({"New";"Repeat"}, RANDBETWEEN(1,2))</f>
        <v>Repeat</v>
      </c>
      <c r="O559" s="4" t="str" cm="1">
        <f t="array" aca="1" ref="O559" ca="1">INDEX({"Loan";"Cash";"Lease"}, RANDBETWEEN(1,3))</f>
        <v>Loan</v>
      </c>
    </row>
    <row r="560" spans="1:15" x14ac:dyDescent="0.2">
      <c r="A560" s="4">
        <v>558</v>
      </c>
      <c r="B560" s="5">
        <f t="shared" ca="1" si="72"/>
        <v>45749</v>
      </c>
      <c r="C560" s="4" t="str" cm="1">
        <f t="array" aca="1" ref="C560" ca="1">INDEX({"Cochin";"Delhi";"Mumbai";"Pune";"Bengaluru"}, RANDBETWEEN(1,5))</f>
        <v>Pune</v>
      </c>
      <c r="D560" s="4" t="str" cm="1">
        <f t="array" aca="1" ref="D560" ca="1">INDEX({"C-Class";"E-Class";"S-Class";"GLA";"GLC";"GLE";"GLS";"EQB"}, RANDBETWEEN(1,8))</f>
        <v>GLE</v>
      </c>
      <c r="E560" s="4" t="str">
        <f t="shared" ca="1" si="73"/>
        <v>SUV</v>
      </c>
      <c r="F560" s="4">
        <f t="shared" ca="1" si="74"/>
        <v>4</v>
      </c>
      <c r="G560" s="8">
        <f t="shared" ca="1" si="75"/>
        <v>10673147</v>
      </c>
      <c r="H560" s="8">
        <f t="shared" ca="1" si="76"/>
        <v>42692588</v>
      </c>
      <c r="I560" s="8">
        <f t="shared" ca="1" si="77"/>
        <v>29884811.600000001</v>
      </c>
      <c r="J560" s="8">
        <f t="shared" ca="1" si="78"/>
        <v>12807776.399999999</v>
      </c>
      <c r="K560" s="6">
        <f t="shared" ca="1" si="79"/>
        <v>0.3</v>
      </c>
      <c r="L560" s="4" t="str" cm="1">
        <f t="array" aca="1" ref="L56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60" s="8">
        <f t="shared" ca="1" si="80"/>
        <v>13942</v>
      </c>
      <c r="N560" s="4" t="str" cm="1">
        <f t="array" aca="1" ref="N560" ca="1">INDEX({"New";"Repeat"}, RANDBETWEEN(1,2))</f>
        <v>New</v>
      </c>
      <c r="O560" s="4" t="str" cm="1">
        <f t="array" aca="1" ref="O560" ca="1">INDEX({"Loan";"Cash";"Lease"}, RANDBETWEEN(1,3))</f>
        <v>Cash</v>
      </c>
    </row>
    <row r="561" spans="1:15" x14ac:dyDescent="0.2">
      <c r="A561" s="4">
        <v>559</v>
      </c>
      <c r="B561" s="5">
        <f t="shared" ca="1" si="72"/>
        <v>45515</v>
      </c>
      <c r="C561" s="4" t="str" cm="1">
        <f t="array" aca="1" ref="C561" ca="1">INDEX({"Cochin";"Delhi";"Mumbai";"Pune";"Bengaluru"}, RANDBETWEEN(1,5))</f>
        <v>Delhi</v>
      </c>
      <c r="D561" s="4" t="str" cm="1">
        <f t="array" aca="1" ref="D561" ca="1">INDEX({"C-Class";"E-Class";"S-Class";"GLA";"GLC";"GLE";"GLS";"EQB"}, RANDBETWEEN(1,8))</f>
        <v>C-Class</v>
      </c>
      <c r="E561" s="4" t="str">
        <f t="shared" ca="1" si="73"/>
        <v>Sedan</v>
      </c>
      <c r="F561" s="4">
        <f t="shared" ca="1" si="74"/>
        <v>3</v>
      </c>
      <c r="G561" s="8">
        <f t="shared" ca="1" si="75"/>
        <v>6724778</v>
      </c>
      <c r="H561" s="8">
        <f t="shared" ca="1" si="76"/>
        <v>20174334</v>
      </c>
      <c r="I561" s="8">
        <f t="shared" ca="1" si="77"/>
        <v>15534237.18</v>
      </c>
      <c r="J561" s="8">
        <f t="shared" ca="1" si="78"/>
        <v>4640096.82</v>
      </c>
      <c r="K561" s="6">
        <f t="shared" ca="1" si="79"/>
        <v>0.23</v>
      </c>
      <c r="L561" s="4" t="str" cm="1">
        <f t="array" aca="1" ref="L561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61" s="8">
        <f t="shared" ca="1" si="80"/>
        <v>14083</v>
      </c>
      <c r="N561" s="4" t="str" cm="1">
        <f t="array" aca="1" ref="N561" ca="1">INDEX({"New";"Repeat"}, RANDBETWEEN(1,2))</f>
        <v>New</v>
      </c>
      <c r="O561" s="4" t="str" cm="1">
        <f t="array" aca="1" ref="O561" ca="1">INDEX({"Loan";"Cash";"Lease"}, RANDBETWEEN(1,3))</f>
        <v>Loan</v>
      </c>
    </row>
    <row r="562" spans="1:15" x14ac:dyDescent="0.2">
      <c r="A562" s="4">
        <v>560</v>
      </c>
      <c r="B562" s="5">
        <f t="shared" ca="1" si="72"/>
        <v>45017</v>
      </c>
      <c r="C562" s="4" t="str" cm="1">
        <f t="array" aca="1" ref="C562" ca="1">INDEX({"Cochin";"Delhi";"Mumbai";"Pune";"Bengaluru"}, RANDBETWEEN(1,5))</f>
        <v>Cochin</v>
      </c>
      <c r="D562" s="4" t="str" cm="1">
        <f t="array" aca="1" ref="D562" ca="1">INDEX({"C-Class";"E-Class";"S-Class";"GLA";"GLC";"GLE";"GLS";"EQB"}, RANDBETWEEN(1,8))</f>
        <v>S-Class</v>
      </c>
      <c r="E562" s="4" t="str">
        <f t="shared" ca="1" si="73"/>
        <v>Sedan</v>
      </c>
      <c r="F562" s="4">
        <f t="shared" ca="1" si="74"/>
        <v>1</v>
      </c>
      <c r="G562" s="8">
        <f t="shared" ca="1" si="75"/>
        <v>24109014</v>
      </c>
      <c r="H562" s="8">
        <f t="shared" ca="1" si="76"/>
        <v>24109014</v>
      </c>
      <c r="I562" s="8">
        <f t="shared" ca="1" si="77"/>
        <v>19769391.48</v>
      </c>
      <c r="J562" s="8">
        <f t="shared" ca="1" si="78"/>
        <v>4339622.5199999996</v>
      </c>
      <c r="K562" s="6">
        <f t="shared" ca="1" si="79"/>
        <v>0.18</v>
      </c>
      <c r="L562" s="4" t="str" cm="1">
        <f t="array" aca="1" ref="L56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62" s="8">
        <f t="shared" ca="1" si="80"/>
        <v>19494</v>
      </c>
      <c r="N562" s="4" t="str" cm="1">
        <f t="array" aca="1" ref="N562" ca="1">INDEX({"New";"Repeat"}, RANDBETWEEN(1,2))</f>
        <v>New</v>
      </c>
      <c r="O562" s="4" t="str" cm="1">
        <f t="array" aca="1" ref="O562" ca="1">INDEX({"Loan";"Cash";"Lease"}, RANDBETWEEN(1,3))</f>
        <v>Cash</v>
      </c>
    </row>
    <row r="563" spans="1:15" x14ac:dyDescent="0.2">
      <c r="A563" s="4">
        <v>561</v>
      </c>
      <c r="B563" s="5">
        <f t="shared" ca="1" si="72"/>
        <v>45239</v>
      </c>
      <c r="C563" s="4" t="str" cm="1">
        <f t="array" aca="1" ref="C563" ca="1">INDEX({"Cochin";"Delhi";"Mumbai";"Pune";"Bengaluru"}, RANDBETWEEN(1,5))</f>
        <v>Delhi</v>
      </c>
      <c r="D563" s="4" t="str" cm="1">
        <f t="array" aca="1" ref="D563" ca="1">INDEX({"C-Class";"E-Class";"S-Class";"GLA";"GLC";"GLE";"GLS";"EQB"}, RANDBETWEEN(1,8))</f>
        <v>EQB</v>
      </c>
      <c r="E563" s="4" t="str">
        <f t="shared" ca="1" si="73"/>
        <v>EV</v>
      </c>
      <c r="F563" s="4">
        <f t="shared" ca="1" si="74"/>
        <v>2</v>
      </c>
      <c r="G563" s="8">
        <f t="shared" ca="1" si="75"/>
        <v>7656568</v>
      </c>
      <c r="H563" s="8">
        <f t="shared" ca="1" si="76"/>
        <v>15313136</v>
      </c>
      <c r="I563" s="8">
        <f t="shared" ca="1" si="77"/>
        <v>11791114.720000001</v>
      </c>
      <c r="J563" s="8">
        <f t="shared" ca="1" si="78"/>
        <v>3522021.2799999993</v>
      </c>
      <c r="K563" s="6">
        <f t="shared" ca="1" si="79"/>
        <v>0.22999999999999995</v>
      </c>
      <c r="L563" s="4" t="str" cm="1">
        <f t="array" aca="1" ref="L56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63" s="8">
        <f t="shared" ca="1" si="80"/>
        <v>10115</v>
      </c>
      <c r="N563" s="4" t="str" cm="1">
        <f t="array" aca="1" ref="N563" ca="1">INDEX({"New";"Repeat"}, RANDBETWEEN(1,2))</f>
        <v>New</v>
      </c>
      <c r="O563" s="4" t="str" cm="1">
        <f t="array" aca="1" ref="O563" ca="1">INDEX({"Loan";"Cash";"Lease"}, RANDBETWEEN(1,3))</f>
        <v>Cash</v>
      </c>
    </row>
    <row r="564" spans="1:15" x14ac:dyDescent="0.2">
      <c r="A564" s="4">
        <v>562</v>
      </c>
      <c r="B564" s="5">
        <f t="shared" ca="1" si="72"/>
        <v>45548</v>
      </c>
      <c r="C564" s="4" t="str" cm="1">
        <f t="array" aca="1" ref="C564" ca="1">INDEX({"Cochin";"Delhi";"Mumbai";"Pune";"Bengaluru"}, RANDBETWEEN(1,5))</f>
        <v>Pune</v>
      </c>
      <c r="D564" s="4" t="str" cm="1">
        <f t="array" aca="1" ref="D564" ca="1">INDEX({"C-Class";"E-Class";"S-Class";"GLA";"GLC";"GLE";"GLS";"EQB"}, RANDBETWEEN(1,8))</f>
        <v>GLE</v>
      </c>
      <c r="E564" s="4" t="str">
        <f t="shared" ca="1" si="73"/>
        <v>SUV</v>
      </c>
      <c r="F564" s="4">
        <f t="shared" ca="1" si="74"/>
        <v>4</v>
      </c>
      <c r="G564" s="8">
        <f t="shared" ca="1" si="75"/>
        <v>10254981</v>
      </c>
      <c r="H564" s="8">
        <f t="shared" ca="1" si="76"/>
        <v>41019924</v>
      </c>
      <c r="I564" s="8">
        <f t="shared" ca="1" si="77"/>
        <v>31585341.48</v>
      </c>
      <c r="J564" s="8">
        <f t="shared" ca="1" si="78"/>
        <v>9434582.5199999996</v>
      </c>
      <c r="K564" s="6">
        <f t="shared" ca="1" si="79"/>
        <v>0.22999999999999998</v>
      </c>
      <c r="L564" s="4" t="str" cm="1">
        <f t="array" aca="1" ref="L56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64" s="8">
        <f t="shared" ca="1" si="80"/>
        <v>4106</v>
      </c>
      <c r="N564" s="4" t="str" cm="1">
        <f t="array" aca="1" ref="N564" ca="1">INDEX({"New";"Repeat"}, RANDBETWEEN(1,2))</f>
        <v>Repeat</v>
      </c>
      <c r="O564" s="4" t="str" cm="1">
        <f t="array" aca="1" ref="O564" ca="1">INDEX({"Loan";"Cash";"Lease"}, RANDBETWEEN(1,3))</f>
        <v>Cash</v>
      </c>
    </row>
    <row r="565" spans="1:15" x14ac:dyDescent="0.2">
      <c r="A565" s="4">
        <v>563</v>
      </c>
      <c r="B565" s="5">
        <f t="shared" ca="1" si="72"/>
        <v>45099</v>
      </c>
      <c r="C565" s="4" t="str" cm="1">
        <f t="array" aca="1" ref="C565" ca="1">INDEX({"Cochin";"Delhi";"Mumbai";"Pune";"Bengaluru"}, RANDBETWEEN(1,5))</f>
        <v>Pune</v>
      </c>
      <c r="D565" s="4" t="str" cm="1">
        <f t="array" aca="1" ref="D565" ca="1">INDEX({"C-Class";"E-Class";"S-Class";"GLA";"GLC";"GLE";"GLS";"EQB"}, RANDBETWEEN(1,8))</f>
        <v>E-Class</v>
      </c>
      <c r="E565" s="4" t="str">
        <f t="shared" ca="1" si="73"/>
        <v>Sedan</v>
      </c>
      <c r="F565" s="4">
        <f t="shared" ca="1" si="74"/>
        <v>2</v>
      </c>
      <c r="G565" s="8">
        <f t="shared" ca="1" si="75"/>
        <v>9110410</v>
      </c>
      <c r="H565" s="8">
        <f t="shared" ca="1" si="76"/>
        <v>18220820</v>
      </c>
      <c r="I565" s="8">
        <f t="shared" ca="1" si="77"/>
        <v>14030031.4</v>
      </c>
      <c r="J565" s="8">
        <f t="shared" ca="1" si="78"/>
        <v>4190788.5999999996</v>
      </c>
      <c r="K565" s="6">
        <f t="shared" ca="1" si="79"/>
        <v>0.22999999999999998</v>
      </c>
      <c r="L565" s="4" t="str" cm="1">
        <f t="array" aca="1" ref="L56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65" s="8">
        <f t="shared" ca="1" si="80"/>
        <v>19941</v>
      </c>
      <c r="N565" s="4" t="str" cm="1">
        <f t="array" aca="1" ref="N565" ca="1">INDEX({"New";"Repeat"}, RANDBETWEEN(1,2))</f>
        <v>New</v>
      </c>
      <c r="O565" s="4" t="str" cm="1">
        <f t="array" aca="1" ref="O565" ca="1">INDEX({"Loan";"Cash";"Lease"}, RANDBETWEEN(1,3))</f>
        <v>Loan</v>
      </c>
    </row>
    <row r="566" spans="1:15" x14ac:dyDescent="0.2">
      <c r="A566" s="4">
        <v>564</v>
      </c>
      <c r="B566" s="5">
        <f t="shared" ca="1" si="72"/>
        <v>45700</v>
      </c>
      <c r="C566" s="4" t="str" cm="1">
        <f t="array" aca="1" ref="C566" ca="1">INDEX({"Cochin";"Delhi";"Mumbai";"Pune";"Bengaluru"}, RANDBETWEEN(1,5))</f>
        <v>Delhi</v>
      </c>
      <c r="D566" s="4" t="str" cm="1">
        <f t="array" aca="1" ref="D566" ca="1">INDEX({"C-Class";"E-Class";"S-Class";"GLA";"GLC";"GLE";"GLS";"EQB"}, RANDBETWEEN(1,8))</f>
        <v>GLE</v>
      </c>
      <c r="E566" s="4" t="str">
        <f t="shared" ca="1" si="73"/>
        <v>SUV</v>
      </c>
      <c r="F566" s="4">
        <f t="shared" ca="1" si="74"/>
        <v>3</v>
      </c>
      <c r="G566" s="8">
        <f t="shared" ca="1" si="75"/>
        <v>12093436</v>
      </c>
      <c r="H566" s="8">
        <f t="shared" ca="1" si="76"/>
        <v>36280308</v>
      </c>
      <c r="I566" s="8">
        <f t="shared" ca="1" si="77"/>
        <v>29387049.48</v>
      </c>
      <c r="J566" s="8">
        <f t="shared" ca="1" si="78"/>
        <v>6893258.5199999996</v>
      </c>
      <c r="K566" s="6">
        <f t="shared" ca="1" si="79"/>
        <v>0.18999999999999997</v>
      </c>
      <c r="L566" s="4" t="str" cm="1">
        <f t="array" aca="1" ref="L56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66" s="8">
        <f t="shared" ca="1" si="80"/>
        <v>6987</v>
      </c>
      <c r="N566" s="4" t="str" cm="1">
        <f t="array" aca="1" ref="N566" ca="1">INDEX({"New";"Repeat"}, RANDBETWEEN(1,2))</f>
        <v>Repeat</v>
      </c>
      <c r="O566" s="4" t="str" cm="1">
        <f t="array" aca="1" ref="O566" ca="1">INDEX({"Loan";"Cash";"Lease"}, RANDBETWEEN(1,3))</f>
        <v>Cash</v>
      </c>
    </row>
    <row r="567" spans="1:15" x14ac:dyDescent="0.2">
      <c r="A567" s="4">
        <v>565</v>
      </c>
      <c r="B567" s="5">
        <f t="shared" ca="1" si="72"/>
        <v>44935</v>
      </c>
      <c r="C567" s="4" t="str" cm="1">
        <f t="array" aca="1" ref="C567" ca="1">INDEX({"Cochin";"Delhi";"Mumbai";"Pune";"Bengaluru"}, RANDBETWEEN(1,5))</f>
        <v>Delhi</v>
      </c>
      <c r="D567" s="4" t="str" cm="1">
        <f t="array" aca="1" ref="D567" ca="1">INDEX({"C-Class";"E-Class";"S-Class";"GLA";"GLC";"GLE";"GLS";"EQB"}, RANDBETWEEN(1,8))</f>
        <v>GLA</v>
      </c>
      <c r="E567" s="4" t="str">
        <f t="shared" ca="1" si="73"/>
        <v>SUV</v>
      </c>
      <c r="F567" s="4">
        <f t="shared" ca="1" si="74"/>
        <v>5</v>
      </c>
      <c r="G567" s="8">
        <f t="shared" ca="1" si="75"/>
        <v>5464015</v>
      </c>
      <c r="H567" s="8">
        <f t="shared" ca="1" si="76"/>
        <v>27320075</v>
      </c>
      <c r="I567" s="8">
        <f t="shared" ca="1" si="77"/>
        <v>20216855.5</v>
      </c>
      <c r="J567" s="8">
        <f t="shared" ca="1" si="78"/>
        <v>7103219.5</v>
      </c>
      <c r="K567" s="6">
        <f t="shared" ca="1" si="79"/>
        <v>0.26</v>
      </c>
      <c r="L567" s="4" t="str" cm="1">
        <f t="array" aca="1" ref="L56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67" s="8">
        <f t="shared" ca="1" si="80"/>
        <v>3463</v>
      </c>
      <c r="N567" s="4" t="str" cm="1">
        <f t="array" aca="1" ref="N567" ca="1">INDEX({"New";"Repeat"}, RANDBETWEEN(1,2))</f>
        <v>Repeat</v>
      </c>
      <c r="O567" s="4" t="str" cm="1">
        <f t="array" aca="1" ref="O567" ca="1">INDEX({"Loan";"Cash";"Lease"}, RANDBETWEEN(1,3))</f>
        <v>Loan</v>
      </c>
    </row>
    <row r="568" spans="1:15" x14ac:dyDescent="0.2">
      <c r="A568" s="4">
        <v>566</v>
      </c>
      <c r="B568" s="5">
        <f t="shared" ca="1" si="72"/>
        <v>45048</v>
      </c>
      <c r="C568" s="4" t="str" cm="1">
        <f t="array" aca="1" ref="C568" ca="1">INDEX({"Cochin";"Delhi";"Mumbai";"Pune";"Bengaluru"}, RANDBETWEEN(1,5))</f>
        <v>Pune</v>
      </c>
      <c r="D568" s="4" t="str" cm="1">
        <f t="array" aca="1" ref="D568" ca="1">INDEX({"C-Class";"E-Class";"S-Class";"GLA";"GLC";"GLE";"GLS";"EQB"}, RANDBETWEEN(1,8))</f>
        <v>GLA</v>
      </c>
      <c r="E568" s="4" t="str">
        <f t="shared" ca="1" si="73"/>
        <v>SUV</v>
      </c>
      <c r="F568" s="4">
        <f t="shared" ca="1" si="74"/>
        <v>1</v>
      </c>
      <c r="G568" s="8">
        <f t="shared" ca="1" si="75"/>
        <v>4518758</v>
      </c>
      <c r="H568" s="8">
        <f t="shared" ca="1" si="76"/>
        <v>4518758</v>
      </c>
      <c r="I568" s="8">
        <f t="shared" ca="1" si="77"/>
        <v>3660193.98</v>
      </c>
      <c r="J568" s="8">
        <f t="shared" ca="1" si="78"/>
        <v>858564.02</v>
      </c>
      <c r="K568" s="6">
        <f t="shared" ca="1" si="79"/>
        <v>0.19</v>
      </c>
      <c r="L568" s="4" t="str" cm="1">
        <f t="array" aca="1" ref="L56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68" s="8">
        <f t="shared" ca="1" si="80"/>
        <v>22931</v>
      </c>
      <c r="N568" s="4" t="str" cm="1">
        <f t="array" aca="1" ref="N568" ca="1">INDEX({"New";"Repeat"}, RANDBETWEEN(1,2))</f>
        <v>New</v>
      </c>
      <c r="O568" s="4" t="str" cm="1">
        <f t="array" aca="1" ref="O568" ca="1">INDEX({"Loan";"Cash";"Lease"}, RANDBETWEEN(1,3))</f>
        <v>Cash</v>
      </c>
    </row>
    <row r="569" spans="1:15" x14ac:dyDescent="0.2">
      <c r="A569" s="4">
        <v>567</v>
      </c>
      <c r="B569" s="5">
        <f t="shared" ca="1" si="72"/>
        <v>45077</v>
      </c>
      <c r="C569" s="4" t="str" cm="1">
        <f t="array" aca="1" ref="C569" ca="1">INDEX({"Cochin";"Delhi";"Mumbai";"Pune";"Bengaluru"}, RANDBETWEEN(1,5))</f>
        <v>Pune</v>
      </c>
      <c r="D569" s="4" t="str" cm="1">
        <f t="array" aca="1" ref="D569" ca="1">INDEX({"C-Class";"E-Class";"S-Class";"GLA";"GLC";"GLE";"GLS";"EQB"}, RANDBETWEEN(1,8))</f>
        <v>GLE</v>
      </c>
      <c r="E569" s="4" t="str">
        <f t="shared" ca="1" si="73"/>
        <v>SUV</v>
      </c>
      <c r="F569" s="4">
        <f t="shared" ca="1" si="74"/>
        <v>2</v>
      </c>
      <c r="G569" s="8">
        <f t="shared" ca="1" si="75"/>
        <v>12050670</v>
      </c>
      <c r="H569" s="8">
        <f t="shared" ca="1" si="76"/>
        <v>24101340</v>
      </c>
      <c r="I569" s="8">
        <f t="shared" ca="1" si="77"/>
        <v>19763098.800000001</v>
      </c>
      <c r="J569" s="8">
        <f t="shared" ca="1" si="78"/>
        <v>4338241.1999999993</v>
      </c>
      <c r="K569" s="6">
        <f t="shared" ca="1" si="79"/>
        <v>0.17999999999999997</v>
      </c>
      <c r="L569" s="4" t="str" cm="1">
        <f t="array" aca="1" ref="L56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69" s="8">
        <f t="shared" ca="1" si="80"/>
        <v>7087</v>
      </c>
      <c r="N569" s="4" t="str" cm="1">
        <f t="array" aca="1" ref="N569" ca="1">INDEX({"New";"Repeat"}, RANDBETWEEN(1,2))</f>
        <v>Repeat</v>
      </c>
      <c r="O569" s="4" t="str" cm="1">
        <f t="array" aca="1" ref="O569" ca="1">INDEX({"Loan";"Cash";"Lease"}, RANDBETWEEN(1,3))</f>
        <v>Cash</v>
      </c>
    </row>
    <row r="570" spans="1:15" x14ac:dyDescent="0.2">
      <c r="A570" s="4">
        <v>568</v>
      </c>
      <c r="B570" s="5">
        <f t="shared" ca="1" si="72"/>
        <v>45715</v>
      </c>
      <c r="C570" s="4" t="str" cm="1">
        <f t="array" aca="1" ref="C570" ca="1">INDEX({"Cochin";"Delhi";"Mumbai";"Pune";"Bengaluru"}, RANDBETWEEN(1,5))</f>
        <v>Cochin</v>
      </c>
      <c r="D570" s="4" t="str" cm="1">
        <f t="array" aca="1" ref="D570" ca="1">INDEX({"C-Class";"E-Class";"S-Class";"GLA";"GLC";"GLE";"GLS";"EQB"}, RANDBETWEEN(1,8))</f>
        <v>EQB</v>
      </c>
      <c r="E570" s="4" t="str">
        <f t="shared" ca="1" si="73"/>
        <v>EV</v>
      </c>
      <c r="F570" s="4">
        <f t="shared" ca="1" si="74"/>
        <v>2</v>
      </c>
      <c r="G570" s="8">
        <f t="shared" ca="1" si="75"/>
        <v>7561843</v>
      </c>
      <c r="H570" s="8">
        <f t="shared" ca="1" si="76"/>
        <v>15123686</v>
      </c>
      <c r="I570" s="8">
        <f t="shared" ca="1" si="77"/>
        <v>12855133.1</v>
      </c>
      <c r="J570" s="8">
        <f t="shared" ca="1" si="78"/>
        <v>2268552.9000000004</v>
      </c>
      <c r="K570" s="6">
        <f t="shared" ca="1" si="79"/>
        <v>0.15000000000000002</v>
      </c>
      <c r="L570" s="4" t="str" cm="1">
        <f t="array" aca="1" ref="L57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570" s="8">
        <f t="shared" ca="1" si="80"/>
        <v>17520</v>
      </c>
      <c r="N570" s="4" t="str" cm="1">
        <f t="array" aca="1" ref="N570" ca="1">INDEX({"New";"Repeat"}, RANDBETWEEN(1,2))</f>
        <v>New</v>
      </c>
      <c r="O570" s="4" t="str" cm="1">
        <f t="array" aca="1" ref="O570" ca="1">INDEX({"Loan";"Cash";"Lease"}, RANDBETWEEN(1,3))</f>
        <v>Lease</v>
      </c>
    </row>
    <row r="571" spans="1:15" x14ac:dyDescent="0.2">
      <c r="A571" s="4">
        <v>569</v>
      </c>
      <c r="B571" s="5">
        <f t="shared" ca="1" si="72"/>
        <v>45899</v>
      </c>
      <c r="C571" s="4" t="str" cm="1">
        <f t="array" aca="1" ref="C571" ca="1">INDEX({"Cochin";"Delhi";"Mumbai";"Pune";"Bengaluru"}, RANDBETWEEN(1,5))</f>
        <v>Bengaluru</v>
      </c>
      <c r="D571" s="4" t="str" cm="1">
        <f t="array" aca="1" ref="D571" ca="1">INDEX({"C-Class";"E-Class";"S-Class";"GLA";"GLC";"GLE";"GLS";"EQB"}, RANDBETWEEN(1,8))</f>
        <v>S-Class</v>
      </c>
      <c r="E571" s="4" t="str">
        <f t="shared" ca="1" si="73"/>
        <v>Sedan</v>
      </c>
      <c r="F571" s="4">
        <f t="shared" ca="1" si="74"/>
        <v>1</v>
      </c>
      <c r="G571" s="8">
        <f t="shared" ca="1" si="75"/>
        <v>18574283</v>
      </c>
      <c r="H571" s="8">
        <f t="shared" ca="1" si="76"/>
        <v>18574283</v>
      </c>
      <c r="I571" s="8">
        <f t="shared" ca="1" si="77"/>
        <v>15045169.23</v>
      </c>
      <c r="J571" s="8">
        <f t="shared" ca="1" si="78"/>
        <v>3529113.7699999996</v>
      </c>
      <c r="K571" s="6">
        <f t="shared" ca="1" si="79"/>
        <v>0.18999999999999997</v>
      </c>
      <c r="L571" s="4" t="str" cm="1">
        <f t="array" aca="1" ref="L571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71" s="8">
        <f t="shared" ca="1" si="80"/>
        <v>6421</v>
      </c>
      <c r="N571" s="4" t="str" cm="1">
        <f t="array" aca="1" ref="N571" ca="1">INDEX({"New";"Repeat"}, RANDBETWEEN(1,2))</f>
        <v>Repeat</v>
      </c>
      <c r="O571" s="4" t="str" cm="1">
        <f t="array" aca="1" ref="O571" ca="1">INDEX({"Loan";"Cash";"Lease"}, RANDBETWEEN(1,3))</f>
        <v>Cash</v>
      </c>
    </row>
    <row r="572" spans="1:15" x14ac:dyDescent="0.2">
      <c r="A572" s="4">
        <v>570</v>
      </c>
      <c r="B572" s="5">
        <f t="shared" ca="1" si="72"/>
        <v>45840</v>
      </c>
      <c r="C572" s="4" t="str" cm="1">
        <f t="array" aca="1" ref="C572" ca="1">INDEX({"Cochin";"Delhi";"Mumbai";"Pune";"Bengaluru"}, RANDBETWEEN(1,5))</f>
        <v>Cochin</v>
      </c>
      <c r="D572" s="4" t="str" cm="1">
        <f t="array" aca="1" ref="D572" ca="1">INDEX({"C-Class";"E-Class";"S-Class";"GLA";"GLC";"GLE";"GLS";"EQB"}, RANDBETWEEN(1,8))</f>
        <v>C-Class</v>
      </c>
      <c r="E572" s="4" t="str">
        <f t="shared" ca="1" si="73"/>
        <v>Sedan</v>
      </c>
      <c r="F572" s="4">
        <f t="shared" ca="1" si="74"/>
        <v>4</v>
      </c>
      <c r="G572" s="8">
        <f t="shared" ca="1" si="75"/>
        <v>6193097</v>
      </c>
      <c r="H572" s="8">
        <f t="shared" ca="1" si="76"/>
        <v>24772388</v>
      </c>
      <c r="I572" s="8">
        <f t="shared" ca="1" si="77"/>
        <v>18579291</v>
      </c>
      <c r="J572" s="8">
        <f t="shared" ca="1" si="78"/>
        <v>6193097</v>
      </c>
      <c r="K572" s="6">
        <f t="shared" ca="1" si="79"/>
        <v>0.25</v>
      </c>
      <c r="L572" s="4" t="str" cm="1">
        <f t="array" aca="1" ref="L572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572" s="8">
        <f t="shared" ca="1" si="80"/>
        <v>6697</v>
      </c>
      <c r="N572" s="4" t="str" cm="1">
        <f t="array" aca="1" ref="N572" ca="1">INDEX({"New";"Repeat"}, RANDBETWEEN(1,2))</f>
        <v>Repeat</v>
      </c>
      <c r="O572" s="4" t="str" cm="1">
        <f t="array" aca="1" ref="O572" ca="1">INDEX({"Loan";"Cash";"Lease"}, RANDBETWEEN(1,3))</f>
        <v>Cash</v>
      </c>
    </row>
    <row r="573" spans="1:15" x14ac:dyDescent="0.2">
      <c r="A573" s="4">
        <v>571</v>
      </c>
      <c r="B573" s="5">
        <f t="shared" ca="1" si="72"/>
        <v>45041</v>
      </c>
      <c r="C573" s="4" t="str" cm="1">
        <f t="array" aca="1" ref="C573" ca="1">INDEX({"Cochin";"Delhi";"Mumbai";"Pune";"Bengaluru"}, RANDBETWEEN(1,5))</f>
        <v>Bengaluru</v>
      </c>
      <c r="D573" s="4" t="str" cm="1">
        <f t="array" aca="1" ref="D573" ca="1">INDEX({"C-Class";"E-Class";"S-Class";"GLA";"GLC";"GLE";"GLS";"EQB"}, RANDBETWEEN(1,8))</f>
        <v>S-Class</v>
      </c>
      <c r="E573" s="4" t="str">
        <f t="shared" ca="1" si="73"/>
        <v>Sedan</v>
      </c>
      <c r="F573" s="4">
        <f t="shared" ca="1" si="74"/>
        <v>5</v>
      </c>
      <c r="G573" s="8">
        <f t="shared" ca="1" si="75"/>
        <v>19100311</v>
      </c>
      <c r="H573" s="8">
        <f t="shared" ca="1" si="76"/>
        <v>95501555</v>
      </c>
      <c r="I573" s="8">
        <f t="shared" ca="1" si="77"/>
        <v>76401244</v>
      </c>
      <c r="J573" s="8">
        <f t="shared" ca="1" si="78"/>
        <v>19100311</v>
      </c>
      <c r="K573" s="6">
        <f t="shared" ca="1" si="79"/>
        <v>0.2</v>
      </c>
      <c r="L573" s="4" t="str" cm="1">
        <f t="array" aca="1" ref="L57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73" s="8">
        <f t="shared" ca="1" si="80"/>
        <v>16972</v>
      </c>
      <c r="N573" s="4" t="str" cm="1">
        <f t="array" aca="1" ref="N573" ca="1">INDEX({"New";"Repeat"}, RANDBETWEEN(1,2))</f>
        <v>New</v>
      </c>
      <c r="O573" s="4" t="str" cm="1">
        <f t="array" aca="1" ref="O573" ca="1">INDEX({"Loan";"Cash";"Lease"}, RANDBETWEEN(1,3))</f>
        <v>Cash</v>
      </c>
    </row>
    <row r="574" spans="1:15" x14ac:dyDescent="0.2">
      <c r="A574" s="4">
        <v>572</v>
      </c>
      <c r="B574" s="5">
        <f t="shared" ca="1" si="72"/>
        <v>45849</v>
      </c>
      <c r="C574" s="4" t="str" cm="1">
        <f t="array" aca="1" ref="C574" ca="1">INDEX({"Cochin";"Delhi";"Mumbai";"Pune";"Bengaluru"}, RANDBETWEEN(1,5))</f>
        <v>Cochin</v>
      </c>
      <c r="D574" s="4" t="str" cm="1">
        <f t="array" aca="1" ref="D574" ca="1">INDEX({"C-Class";"E-Class";"S-Class";"GLA";"GLC";"GLE";"GLS";"EQB"}, RANDBETWEEN(1,8))</f>
        <v>S-Class</v>
      </c>
      <c r="E574" s="4" t="str">
        <f t="shared" ca="1" si="73"/>
        <v>Sedan</v>
      </c>
      <c r="F574" s="4">
        <f t="shared" ca="1" si="74"/>
        <v>2</v>
      </c>
      <c r="G574" s="8">
        <f t="shared" ca="1" si="75"/>
        <v>19294075</v>
      </c>
      <c r="H574" s="8">
        <f t="shared" ca="1" si="76"/>
        <v>38588150</v>
      </c>
      <c r="I574" s="8">
        <f t="shared" ca="1" si="77"/>
        <v>30870520</v>
      </c>
      <c r="J574" s="8">
        <f t="shared" ca="1" si="78"/>
        <v>7717630</v>
      </c>
      <c r="K574" s="6">
        <f t="shared" ca="1" si="79"/>
        <v>0.2</v>
      </c>
      <c r="L574" s="4" t="str" cm="1">
        <f t="array" aca="1" ref="L57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74" s="8">
        <f t="shared" ca="1" si="80"/>
        <v>17449</v>
      </c>
      <c r="N574" s="4" t="str" cm="1">
        <f t="array" aca="1" ref="N574" ca="1">INDEX({"New";"Repeat"}, RANDBETWEEN(1,2))</f>
        <v>New</v>
      </c>
      <c r="O574" s="4" t="str" cm="1">
        <f t="array" aca="1" ref="O574" ca="1">INDEX({"Loan";"Cash";"Lease"}, RANDBETWEEN(1,3))</f>
        <v>Loan</v>
      </c>
    </row>
    <row r="575" spans="1:15" x14ac:dyDescent="0.2">
      <c r="A575" s="4">
        <v>573</v>
      </c>
      <c r="B575" s="5">
        <f t="shared" ca="1" si="72"/>
        <v>45364</v>
      </c>
      <c r="C575" s="4" t="str" cm="1">
        <f t="array" aca="1" ref="C575" ca="1">INDEX({"Cochin";"Delhi";"Mumbai";"Pune";"Bengaluru"}, RANDBETWEEN(1,5))</f>
        <v>Bengaluru</v>
      </c>
      <c r="D575" s="4" t="str" cm="1">
        <f t="array" aca="1" ref="D575" ca="1">INDEX({"C-Class";"E-Class";"S-Class";"GLA";"GLC";"GLE";"GLS";"EQB"}, RANDBETWEEN(1,8))</f>
        <v>S-Class</v>
      </c>
      <c r="E575" s="4" t="str">
        <f t="shared" ca="1" si="73"/>
        <v>Sedan</v>
      </c>
      <c r="F575" s="4">
        <f t="shared" ca="1" si="74"/>
        <v>1</v>
      </c>
      <c r="G575" s="8">
        <f t="shared" ca="1" si="75"/>
        <v>19972929</v>
      </c>
      <c r="H575" s="8">
        <f t="shared" ca="1" si="76"/>
        <v>19972929</v>
      </c>
      <c r="I575" s="8">
        <f t="shared" ca="1" si="77"/>
        <v>14180779.59</v>
      </c>
      <c r="J575" s="8">
        <f t="shared" ca="1" si="78"/>
        <v>5792149.4100000001</v>
      </c>
      <c r="K575" s="6">
        <f t="shared" ca="1" si="79"/>
        <v>0.28999999999999998</v>
      </c>
      <c r="L575" s="4" t="str" cm="1">
        <f t="array" aca="1" ref="L57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75" s="8">
        <f t="shared" ca="1" si="80"/>
        <v>4882</v>
      </c>
      <c r="N575" s="4" t="str" cm="1">
        <f t="array" aca="1" ref="N575" ca="1">INDEX({"New";"Repeat"}, RANDBETWEEN(1,2))</f>
        <v>Repeat</v>
      </c>
      <c r="O575" s="4" t="str" cm="1">
        <f t="array" aca="1" ref="O575" ca="1">INDEX({"Loan";"Cash";"Lease"}, RANDBETWEEN(1,3))</f>
        <v>Loan</v>
      </c>
    </row>
    <row r="576" spans="1:15" x14ac:dyDescent="0.2">
      <c r="A576" s="4">
        <v>574</v>
      </c>
      <c r="B576" s="5">
        <f t="shared" ca="1" si="72"/>
        <v>45369</v>
      </c>
      <c r="C576" s="4" t="str" cm="1">
        <f t="array" aca="1" ref="C576" ca="1">INDEX({"Cochin";"Delhi";"Mumbai";"Pune";"Bengaluru"}, RANDBETWEEN(1,5))</f>
        <v>Bengaluru</v>
      </c>
      <c r="D576" s="4" t="str" cm="1">
        <f t="array" aca="1" ref="D576" ca="1">INDEX({"C-Class";"E-Class";"S-Class";"GLA";"GLC";"GLE";"GLS";"EQB"}, RANDBETWEEN(1,8))</f>
        <v>GLA</v>
      </c>
      <c r="E576" s="4" t="str">
        <f t="shared" ca="1" si="73"/>
        <v>SUV</v>
      </c>
      <c r="F576" s="4">
        <f t="shared" ca="1" si="74"/>
        <v>5</v>
      </c>
      <c r="G576" s="8">
        <f t="shared" ca="1" si="75"/>
        <v>5196350</v>
      </c>
      <c r="H576" s="8">
        <f t="shared" ca="1" si="76"/>
        <v>25981750</v>
      </c>
      <c r="I576" s="8">
        <f t="shared" ca="1" si="77"/>
        <v>20785400</v>
      </c>
      <c r="J576" s="8">
        <f t="shared" ca="1" si="78"/>
        <v>5196350</v>
      </c>
      <c r="K576" s="6">
        <f t="shared" ca="1" si="79"/>
        <v>0.2</v>
      </c>
      <c r="L576" s="4" t="str" cm="1">
        <f t="array" aca="1" ref="L576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576" s="8">
        <f t="shared" ca="1" si="80"/>
        <v>4348</v>
      </c>
      <c r="N576" s="4" t="str" cm="1">
        <f t="array" aca="1" ref="N576" ca="1">INDEX({"New";"Repeat"}, RANDBETWEEN(1,2))</f>
        <v>Repeat</v>
      </c>
      <c r="O576" s="4" t="str" cm="1">
        <f t="array" aca="1" ref="O576" ca="1">INDEX({"Loan";"Cash";"Lease"}, RANDBETWEEN(1,3))</f>
        <v>Cash</v>
      </c>
    </row>
    <row r="577" spans="1:15" x14ac:dyDescent="0.2">
      <c r="A577" s="4">
        <v>575</v>
      </c>
      <c r="B577" s="5">
        <f t="shared" ca="1" si="72"/>
        <v>45710</v>
      </c>
      <c r="C577" s="4" t="str" cm="1">
        <f t="array" aca="1" ref="C577" ca="1">INDEX({"Cochin";"Delhi";"Mumbai";"Pune";"Bengaluru"}, RANDBETWEEN(1,5))</f>
        <v>Pune</v>
      </c>
      <c r="D577" s="4" t="str" cm="1">
        <f t="array" aca="1" ref="D577" ca="1">INDEX({"C-Class";"E-Class";"S-Class";"GLA";"GLC";"GLE";"GLS";"EQB"}, RANDBETWEEN(1,8))</f>
        <v>GLE</v>
      </c>
      <c r="E577" s="4" t="str">
        <f t="shared" ca="1" si="73"/>
        <v>SUV</v>
      </c>
      <c r="F577" s="4">
        <f t="shared" ca="1" si="74"/>
        <v>3</v>
      </c>
      <c r="G577" s="8">
        <f t="shared" ca="1" si="75"/>
        <v>9047510</v>
      </c>
      <c r="H577" s="8">
        <f t="shared" ca="1" si="76"/>
        <v>27142530</v>
      </c>
      <c r="I577" s="8">
        <f t="shared" ca="1" si="77"/>
        <v>22256874.600000001</v>
      </c>
      <c r="J577" s="8">
        <f t="shared" ca="1" si="78"/>
        <v>4885655.3999999985</v>
      </c>
      <c r="K577" s="6">
        <f t="shared" ca="1" si="79"/>
        <v>0.17999999999999994</v>
      </c>
      <c r="L577" s="4" t="str" cm="1">
        <f t="array" aca="1" ref="L57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77" s="8">
        <f t="shared" ca="1" si="80"/>
        <v>19848</v>
      </c>
      <c r="N577" s="4" t="str" cm="1">
        <f t="array" aca="1" ref="N577" ca="1">INDEX({"New";"Repeat"}, RANDBETWEEN(1,2))</f>
        <v>New</v>
      </c>
      <c r="O577" s="4" t="str" cm="1">
        <f t="array" aca="1" ref="O577" ca="1">INDEX({"Loan";"Cash";"Lease"}, RANDBETWEEN(1,3))</f>
        <v>Loan</v>
      </c>
    </row>
    <row r="578" spans="1:15" x14ac:dyDescent="0.2">
      <c r="A578" s="4">
        <v>576</v>
      </c>
      <c r="B578" s="5">
        <f t="shared" ca="1" si="72"/>
        <v>45485</v>
      </c>
      <c r="C578" s="4" t="str" cm="1">
        <f t="array" aca="1" ref="C578" ca="1">INDEX({"Cochin";"Delhi";"Mumbai";"Pune";"Bengaluru"}, RANDBETWEEN(1,5))</f>
        <v>Mumbai</v>
      </c>
      <c r="D578" s="4" t="str" cm="1">
        <f t="array" aca="1" ref="D578" ca="1">INDEX({"C-Class";"E-Class";"S-Class";"GLA";"GLC";"GLE";"GLS";"EQB"}, RANDBETWEEN(1,8))</f>
        <v>GLE</v>
      </c>
      <c r="E578" s="4" t="str">
        <f t="shared" ca="1" si="73"/>
        <v>SUV</v>
      </c>
      <c r="F578" s="4">
        <f t="shared" ca="1" si="74"/>
        <v>2</v>
      </c>
      <c r="G578" s="8">
        <f t="shared" ca="1" si="75"/>
        <v>11656529</v>
      </c>
      <c r="H578" s="8">
        <f t="shared" ca="1" si="76"/>
        <v>23313058</v>
      </c>
      <c r="I578" s="8">
        <f t="shared" ca="1" si="77"/>
        <v>17951054.66</v>
      </c>
      <c r="J578" s="8">
        <f t="shared" ca="1" si="78"/>
        <v>5362003.34</v>
      </c>
      <c r="K578" s="6">
        <f t="shared" ca="1" si="79"/>
        <v>0.22999999999999998</v>
      </c>
      <c r="L578" s="4" t="str" cm="1">
        <f t="array" aca="1" ref="L578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78" s="8">
        <f t="shared" ca="1" si="80"/>
        <v>14173</v>
      </c>
      <c r="N578" s="4" t="str" cm="1">
        <f t="array" aca="1" ref="N578" ca="1">INDEX({"New";"Repeat"}, RANDBETWEEN(1,2))</f>
        <v>New</v>
      </c>
      <c r="O578" s="4" t="str" cm="1">
        <f t="array" aca="1" ref="O578" ca="1">INDEX({"Loan";"Cash";"Lease"}, RANDBETWEEN(1,3))</f>
        <v>Loan</v>
      </c>
    </row>
    <row r="579" spans="1:15" x14ac:dyDescent="0.2">
      <c r="A579" s="4">
        <v>577</v>
      </c>
      <c r="B579" s="5">
        <f t="shared" ca="1" si="72"/>
        <v>45749</v>
      </c>
      <c r="C579" s="4" t="str" cm="1">
        <f t="array" aca="1" ref="C579" ca="1">INDEX({"Cochin";"Delhi";"Mumbai";"Pune";"Bengaluru"}, RANDBETWEEN(1,5))</f>
        <v>Bengaluru</v>
      </c>
      <c r="D579" s="4" t="str" cm="1">
        <f t="array" aca="1" ref="D579" ca="1">INDEX({"C-Class";"E-Class";"S-Class";"GLA";"GLC";"GLE";"GLS";"EQB"}, RANDBETWEEN(1,8))</f>
        <v>E-Class</v>
      </c>
      <c r="E579" s="4" t="str">
        <f t="shared" ca="1" si="73"/>
        <v>Sedan</v>
      </c>
      <c r="F579" s="4">
        <f t="shared" ca="1" si="74"/>
        <v>5</v>
      </c>
      <c r="G579" s="8">
        <f t="shared" ca="1" si="75"/>
        <v>8870804</v>
      </c>
      <c r="H579" s="8">
        <f t="shared" ca="1" si="76"/>
        <v>44354020</v>
      </c>
      <c r="I579" s="8">
        <f t="shared" ca="1" si="77"/>
        <v>31047814</v>
      </c>
      <c r="J579" s="8">
        <f t="shared" ca="1" si="78"/>
        <v>13306206</v>
      </c>
      <c r="K579" s="6">
        <f t="shared" ca="1" si="79"/>
        <v>0.3</v>
      </c>
      <c r="L579" s="4" t="str" cm="1">
        <f t="array" aca="1" ref="L579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79" s="8">
        <f t="shared" ca="1" si="80"/>
        <v>3313</v>
      </c>
      <c r="N579" s="4" t="str" cm="1">
        <f t="array" aca="1" ref="N579" ca="1">INDEX({"New";"Repeat"}, RANDBETWEEN(1,2))</f>
        <v>Repeat</v>
      </c>
      <c r="O579" s="4" t="str" cm="1">
        <f t="array" aca="1" ref="O579" ca="1">INDEX({"Loan";"Cash";"Lease"}, RANDBETWEEN(1,3))</f>
        <v>Loan</v>
      </c>
    </row>
    <row r="580" spans="1:15" x14ac:dyDescent="0.2">
      <c r="A580" s="4">
        <v>578</v>
      </c>
      <c r="B580" s="5">
        <f t="shared" ref="B580:B643" ca="1" si="81">RANDBETWEEN(DATE(2023,1,1),DATE(2025,9,1))</f>
        <v>45896</v>
      </c>
      <c r="C580" s="4" t="str" cm="1">
        <f t="array" aca="1" ref="C580" ca="1">INDEX({"Cochin";"Delhi";"Mumbai";"Pune";"Bengaluru"}, RANDBETWEEN(1,5))</f>
        <v>Cochin</v>
      </c>
      <c r="D580" s="4" t="str" cm="1">
        <f t="array" aca="1" ref="D580" ca="1">INDEX({"C-Class";"E-Class";"S-Class";"GLA";"GLC";"GLE";"GLS";"EQB"}, RANDBETWEEN(1,8))</f>
        <v>E-Class</v>
      </c>
      <c r="E580" s="4" t="str">
        <f t="shared" ref="E580:E643" ca="1" si="82">IF(D580="EQB","EV", IF(OR(D580="GLA",D580="GLC",D580="GLE",D580="GLS"),"SUV","Sedan"))</f>
        <v>Sedan</v>
      </c>
      <c r="F580" s="4">
        <f t="shared" ref="F580:F643" ca="1" si="83">RANDBETWEEN(1,5)</f>
        <v>1</v>
      </c>
      <c r="G580" s="8">
        <f t="shared" ref="G580:G643" ca="1" si="84">IF(D580="C-Class",RANDBETWEEN(5500000,7000000),
IF(D580="E-Class",RANDBETWEEN(7500000,9500000),
IF(D580="S-Class",RANDBETWEEN(15000000,25000000),
IF(D580="GLA",RANDBETWEEN(4500000,5500000),
IF(D580="GLC",RANDBETWEEN(6500000,7500000),
IF(D580="GLE",RANDBETWEEN(9000000,13000000),
IF(D580="GLS",RANDBETWEEN(13000000,18000000),
IF(D580="EQB",RANDBETWEEN(7000000,8000000)))))))))</f>
        <v>9212778</v>
      </c>
      <c r="H580" s="8">
        <f t="shared" ref="H580:H643" ca="1" si="85">F580*G580</f>
        <v>9212778</v>
      </c>
      <c r="I580" s="8">
        <f t="shared" ref="I580:I643" ca="1" si="86">G580 *F580* RANDBETWEEN(70,85) / 100</f>
        <v>6909583.5</v>
      </c>
      <c r="J580" s="8">
        <f t="shared" ref="J580:J643" ca="1" si="87">H580 -I580</f>
        <v>2303194.5</v>
      </c>
      <c r="K580" s="6">
        <f t="shared" ref="K580:K643" ca="1" si="88">J580/H580</f>
        <v>0.25</v>
      </c>
      <c r="L580" s="4" t="str" cm="1">
        <f t="array" aca="1" ref="L580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80" s="8">
        <f t="shared" ref="M580:M643" ca="1" si="89">IF(N580="New", RANDBETWEEN(10000,25000), RANDBETWEEN(3000,8000))</f>
        <v>12806</v>
      </c>
      <c r="N580" s="4" t="str" cm="1">
        <f t="array" aca="1" ref="N580" ca="1">INDEX({"New";"Repeat"}, RANDBETWEEN(1,2))</f>
        <v>New</v>
      </c>
      <c r="O580" s="4" t="str" cm="1">
        <f t="array" aca="1" ref="O580" ca="1">INDEX({"Loan";"Cash";"Lease"}, RANDBETWEEN(1,3))</f>
        <v>Lease</v>
      </c>
    </row>
    <row r="581" spans="1:15" x14ac:dyDescent="0.2">
      <c r="A581" s="4">
        <v>579</v>
      </c>
      <c r="B581" s="5">
        <f t="shared" ca="1" si="81"/>
        <v>45026</v>
      </c>
      <c r="C581" s="4" t="str" cm="1">
        <f t="array" aca="1" ref="C581" ca="1">INDEX({"Cochin";"Delhi";"Mumbai";"Pune";"Bengaluru"}, RANDBETWEEN(1,5))</f>
        <v>Bengaluru</v>
      </c>
      <c r="D581" s="4" t="str" cm="1">
        <f t="array" aca="1" ref="D581" ca="1">INDEX({"C-Class";"E-Class";"S-Class";"GLA";"GLC";"GLE";"GLS";"EQB"}, RANDBETWEEN(1,8))</f>
        <v>GLE</v>
      </c>
      <c r="E581" s="4" t="str">
        <f t="shared" ca="1" si="82"/>
        <v>SUV</v>
      </c>
      <c r="F581" s="4">
        <f t="shared" ca="1" si="83"/>
        <v>1</v>
      </c>
      <c r="G581" s="8">
        <f t="shared" ca="1" si="84"/>
        <v>9849544</v>
      </c>
      <c r="H581" s="8">
        <f t="shared" ca="1" si="85"/>
        <v>9849544</v>
      </c>
      <c r="I581" s="8">
        <f t="shared" ca="1" si="86"/>
        <v>8372112.4000000004</v>
      </c>
      <c r="J581" s="8">
        <f t="shared" ca="1" si="87"/>
        <v>1477431.5999999996</v>
      </c>
      <c r="K581" s="6">
        <f t="shared" ca="1" si="88"/>
        <v>0.14999999999999997</v>
      </c>
      <c r="L581" s="4" t="str" cm="1">
        <f t="array" aca="1" ref="L58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81" s="8">
        <f t="shared" ca="1" si="89"/>
        <v>5898</v>
      </c>
      <c r="N581" s="4" t="str" cm="1">
        <f t="array" aca="1" ref="N581" ca="1">INDEX({"New";"Repeat"}, RANDBETWEEN(1,2))</f>
        <v>Repeat</v>
      </c>
      <c r="O581" s="4" t="str" cm="1">
        <f t="array" aca="1" ref="O581" ca="1">INDEX({"Loan";"Cash";"Lease"}, RANDBETWEEN(1,3))</f>
        <v>Cash</v>
      </c>
    </row>
    <row r="582" spans="1:15" x14ac:dyDescent="0.2">
      <c r="A582" s="4">
        <v>580</v>
      </c>
      <c r="B582" s="5">
        <f t="shared" ca="1" si="81"/>
        <v>45450</v>
      </c>
      <c r="C582" s="4" t="str" cm="1">
        <f t="array" aca="1" ref="C582" ca="1">INDEX({"Cochin";"Delhi";"Mumbai";"Pune";"Bengaluru"}, RANDBETWEEN(1,5))</f>
        <v>Mumbai</v>
      </c>
      <c r="D582" s="4" t="str" cm="1">
        <f t="array" aca="1" ref="D582" ca="1">INDEX({"C-Class";"E-Class";"S-Class";"GLA";"GLC";"GLE";"GLS";"EQB"}, RANDBETWEEN(1,8))</f>
        <v>GLS</v>
      </c>
      <c r="E582" s="4" t="str">
        <f t="shared" ca="1" si="82"/>
        <v>SUV</v>
      </c>
      <c r="F582" s="4">
        <f t="shared" ca="1" si="83"/>
        <v>5</v>
      </c>
      <c r="G582" s="8">
        <f t="shared" ca="1" si="84"/>
        <v>16890527</v>
      </c>
      <c r="H582" s="8">
        <f t="shared" ca="1" si="85"/>
        <v>84452635</v>
      </c>
      <c r="I582" s="8">
        <f t="shared" ca="1" si="86"/>
        <v>71784739.75</v>
      </c>
      <c r="J582" s="8">
        <f t="shared" ca="1" si="87"/>
        <v>12667895.25</v>
      </c>
      <c r="K582" s="6">
        <f t="shared" ca="1" si="88"/>
        <v>0.15</v>
      </c>
      <c r="L582" s="4" t="str" cm="1">
        <f t="array" aca="1" ref="L58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582" s="8">
        <f t="shared" ca="1" si="89"/>
        <v>4958</v>
      </c>
      <c r="N582" s="4" t="str" cm="1">
        <f t="array" aca="1" ref="N582" ca="1">INDEX({"New";"Repeat"}, RANDBETWEEN(1,2))</f>
        <v>Repeat</v>
      </c>
      <c r="O582" s="4" t="str" cm="1">
        <f t="array" aca="1" ref="O582" ca="1">INDEX({"Loan";"Cash";"Lease"}, RANDBETWEEN(1,3))</f>
        <v>Cash</v>
      </c>
    </row>
    <row r="583" spans="1:15" x14ac:dyDescent="0.2">
      <c r="A583" s="4">
        <v>581</v>
      </c>
      <c r="B583" s="5">
        <f t="shared" ca="1" si="81"/>
        <v>45491</v>
      </c>
      <c r="C583" s="4" t="str" cm="1">
        <f t="array" aca="1" ref="C583" ca="1">INDEX({"Cochin";"Delhi";"Mumbai";"Pune";"Bengaluru"}, RANDBETWEEN(1,5))</f>
        <v>Cochin</v>
      </c>
      <c r="D583" s="4" t="str" cm="1">
        <f t="array" aca="1" ref="D583" ca="1">INDEX({"C-Class";"E-Class";"S-Class";"GLA";"GLC";"GLE";"GLS";"EQB"}, RANDBETWEEN(1,8))</f>
        <v>GLC</v>
      </c>
      <c r="E583" s="4" t="str">
        <f t="shared" ca="1" si="82"/>
        <v>SUV</v>
      </c>
      <c r="F583" s="4">
        <f t="shared" ca="1" si="83"/>
        <v>2</v>
      </c>
      <c r="G583" s="8">
        <f t="shared" ca="1" si="84"/>
        <v>6503932</v>
      </c>
      <c r="H583" s="8">
        <f t="shared" ca="1" si="85"/>
        <v>13007864</v>
      </c>
      <c r="I583" s="8">
        <f t="shared" ca="1" si="86"/>
        <v>9755898</v>
      </c>
      <c r="J583" s="8">
        <f t="shared" ca="1" si="87"/>
        <v>3251966</v>
      </c>
      <c r="K583" s="6">
        <f t="shared" ca="1" si="88"/>
        <v>0.25</v>
      </c>
      <c r="L583" s="4" t="str" cm="1">
        <f t="array" aca="1" ref="L583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83" s="8">
        <f t="shared" ca="1" si="89"/>
        <v>7775</v>
      </c>
      <c r="N583" s="4" t="str" cm="1">
        <f t="array" aca="1" ref="N583" ca="1">INDEX({"New";"Repeat"}, RANDBETWEEN(1,2))</f>
        <v>Repeat</v>
      </c>
      <c r="O583" s="4" t="str" cm="1">
        <f t="array" aca="1" ref="O583" ca="1">INDEX({"Loan";"Cash";"Lease"}, RANDBETWEEN(1,3))</f>
        <v>Loan</v>
      </c>
    </row>
    <row r="584" spans="1:15" x14ac:dyDescent="0.2">
      <c r="A584" s="4">
        <v>582</v>
      </c>
      <c r="B584" s="5">
        <f t="shared" ca="1" si="81"/>
        <v>45224</v>
      </c>
      <c r="C584" s="4" t="str" cm="1">
        <f t="array" aca="1" ref="C584" ca="1">INDEX({"Cochin";"Delhi";"Mumbai";"Pune";"Bengaluru"}, RANDBETWEEN(1,5))</f>
        <v>Cochin</v>
      </c>
      <c r="D584" s="4" t="str" cm="1">
        <f t="array" aca="1" ref="D584" ca="1">INDEX({"C-Class";"E-Class";"S-Class";"GLA";"GLC";"GLE";"GLS";"EQB"}, RANDBETWEEN(1,8))</f>
        <v>GLA</v>
      </c>
      <c r="E584" s="4" t="str">
        <f t="shared" ca="1" si="82"/>
        <v>SUV</v>
      </c>
      <c r="F584" s="4">
        <f t="shared" ca="1" si="83"/>
        <v>4</v>
      </c>
      <c r="G584" s="8">
        <f t="shared" ca="1" si="84"/>
        <v>4931957</v>
      </c>
      <c r="H584" s="8">
        <f t="shared" ca="1" si="85"/>
        <v>19727828</v>
      </c>
      <c r="I584" s="8">
        <f t="shared" ca="1" si="86"/>
        <v>15979540.68</v>
      </c>
      <c r="J584" s="8">
        <f t="shared" ca="1" si="87"/>
        <v>3748287.3200000003</v>
      </c>
      <c r="K584" s="6">
        <f t="shared" ca="1" si="88"/>
        <v>0.19</v>
      </c>
      <c r="L584" s="4" t="str" cm="1">
        <f t="array" aca="1" ref="L58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584" s="8">
        <f t="shared" ca="1" si="89"/>
        <v>16850</v>
      </c>
      <c r="N584" s="4" t="str" cm="1">
        <f t="array" aca="1" ref="N584" ca="1">INDEX({"New";"Repeat"}, RANDBETWEEN(1,2))</f>
        <v>New</v>
      </c>
      <c r="O584" s="4" t="str" cm="1">
        <f t="array" aca="1" ref="O584" ca="1">INDEX({"Loan";"Cash";"Lease"}, RANDBETWEEN(1,3))</f>
        <v>Loan</v>
      </c>
    </row>
    <row r="585" spans="1:15" x14ac:dyDescent="0.2">
      <c r="A585" s="4">
        <v>583</v>
      </c>
      <c r="B585" s="5">
        <f t="shared" ca="1" si="81"/>
        <v>45434</v>
      </c>
      <c r="C585" s="4" t="str" cm="1">
        <f t="array" aca="1" ref="C585" ca="1">INDEX({"Cochin";"Delhi";"Mumbai";"Pune";"Bengaluru"}, RANDBETWEEN(1,5))</f>
        <v>Bengaluru</v>
      </c>
      <c r="D585" s="4" t="str" cm="1">
        <f t="array" aca="1" ref="D585" ca="1">INDEX({"C-Class";"E-Class";"S-Class";"GLA";"GLC";"GLE";"GLS";"EQB"}, RANDBETWEEN(1,8))</f>
        <v>E-Class</v>
      </c>
      <c r="E585" s="4" t="str">
        <f t="shared" ca="1" si="82"/>
        <v>Sedan</v>
      </c>
      <c r="F585" s="4">
        <f t="shared" ca="1" si="83"/>
        <v>3</v>
      </c>
      <c r="G585" s="8">
        <f t="shared" ca="1" si="84"/>
        <v>9134866</v>
      </c>
      <c r="H585" s="8">
        <f t="shared" ca="1" si="85"/>
        <v>27404598</v>
      </c>
      <c r="I585" s="8">
        <f t="shared" ca="1" si="86"/>
        <v>19731310.559999999</v>
      </c>
      <c r="J585" s="8">
        <f t="shared" ca="1" si="87"/>
        <v>7673287.4400000013</v>
      </c>
      <c r="K585" s="6">
        <f t="shared" ca="1" si="88"/>
        <v>0.28000000000000003</v>
      </c>
      <c r="L585" s="4" t="str" cm="1">
        <f t="array" aca="1" ref="L58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85" s="8">
        <f t="shared" ca="1" si="89"/>
        <v>3133</v>
      </c>
      <c r="N585" s="4" t="str" cm="1">
        <f t="array" aca="1" ref="N585" ca="1">INDEX({"New";"Repeat"}, RANDBETWEEN(1,2))</f>
        <v>Repeat</v>
      </c>
      <c r="O585" s="4" t="str" cm="1">
        <f t="array" aca="1" ref="O585" ca="1">INDEX({"Loan";"Cash";"Lease"}, RANDBETWEEN(1,3))</f>
        <v>Loan</v>
      </c>
    </row>
    <row r="586" spans="1:15" x14ac:dyDescent="0.2">
      <c r="A586" s="4">
        <v>584</v>
      </c>
      <c r="B586" s="5">
        <f t="shared" ca="1" si="81"/>
        <v>45822</v>
      </c>
      <c r="C586" s="4" t="str" cm="1">
        <f t="array" aca="1" ref="C586" ca="1">INDEX({"Cochin";"Delhi";"Mumbai";"Pune";"Bengaluru"}, RANDBETWEEN(1,5))</f>
        <v>Pune</v>
      </c>
      <c r="D586" s="4" t="str" cm="1">
        <f t="array" aca="1" ref="D586" ca="1">INDEX({"C-Class";"E-Class";"S-Class";"GLA";"GLC";"GLE";"GLS";"EQB"}, RANDBETWEEN(1,8))</f>
        <v>GLA</v>
      </c>
      <c r="E586" s="4" t="str">
        <f t="shared" ca="1" si="82"/>
        <v>SUV</v>
      </c>
      <c r="F586" s="4">
        <f t="shared" ca="1" si="83"/>
        <v>3</v>
      </c>
      <c r="G586" s="8">
        <f t="shared" ca="1" si="84"/>
        <v>5459806</v>
      </c>
      <c r="H586" s="8">
        <f t="shared" ca="1" si="85"/>
        <v>16379418</v>
      </c>
      <c r="I586" s="8">
        <f t="shared" ca="1" si="86"/>
        <v>11793180.960000001</v>
      </c>
      <c r="J586" s="8">
        <f t="shared" ca="1" si="87"/>
        <v>4586237.0399999991</v>
      </c>
      <c r="K586" s="6">
        <f t="shared" ca="1" si="88"/>
        <v>0.27999999999999997</v>
      </c>
      <c r="L586" s="4" t="str" cm="1">
        <f t="array" aca="1" ref="L58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86" s="8">
        <f t="shared" ca="1" si="89"/>
        <v>23435</v>
      </c>
      <c r="N586" s="4" t="str" cm="1">
        <f t="array" aca="1" ref="N586" ca="1">INDEX({"New";"Repeat"}, RANDBETWEEN(1,2))</f>
        <v>New</v>
      </c>
      <c r="O586" s="4" t="str" cm="1">
        <f t="array" aca="1" ref="O586" ca="1">INDEX({"Loan";"Cash";"Lease"}, RANDBETWEEN(1,3))</f>
        <v>Cash</v>
      </c>
    </row>
    <row r="587" spans="1:15" x14ac:dyDescent="0.2">
      <c r="A587" s="4">
        <v>585</v>
      </c>
      <c r="B587" s="5">
        <f t="shared" ca="1" si="81"/>
        <v>45070</v>
      </c>
      <c r="C587" s="4" t="str" cm="1">
        <f t="array" aca="1" ref="C587" ca="1">INDEX({"Cochin";"Delhi";"Mumbai";"Pune";"Bengaluru"}, RANDBETWEEN(1,5))</f>
        <v>Pune</v>
      </c>
      <c r="D587" s="4" t="str" cm="1">
        <f t="array" aca="1" ref="D587" ca="1">INDEX({"C-Class";"E-Class";"S-Class";"GLA";"GLC";"GLE";"GLS";"EQB"}, RANDBETWEEN(1,8))</f>
        <v>GLE</v>
      </c>
      <c r="E587" s="4" t="str">
        <f t="shared" ca="1" si="82"/>
        <v>SUV</v>
      </c>
      <c r="F587" s="4">
        <f t="shared" ca="1" si="83"/>
        <v>2</v>
      </c>
      <c r="G587" s="8">
        <f t="shared" ca="1" si="84"/>
        <v>11944281</v>
      </c>
      <c r="H587" s="8">
        <f t="shared" ca="1" si="85"/>
        <v>23888562</v>
      </c>
      <c r="I587" s="8">
        <f t="shared" ca="1" si="86"/>
        <v>16960879.02</v>
      </c>
      <c r="J587" s="8">
        <f t="shared" ca="1" si="87"/>
        <v>6927682.9800000004</v>
      </c>
      <c r="K587" s="6">
        <f t="shared" ca="1" si="88"/>
        <v>0.29000000000000004</v>
      </c>
      <c r="L587" s="4" t="str" cm="1">
        <f t="array" aca="1" ref="L58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587" s="8">
        <f t="shared" ca="1" si="89"/>
        <v>16192</v>
      </c>
      <c r="N587" s="4" t="str" cm="1">
        <f t="array" aca="1" ref="N587" ca="1">INDEX({"New";"Repeat"}, RANDBETWEEN(1,2))</f>
        <v>New</v>
      </c>
      <c r="O587" s="4" t="str" cm="1">
        <f t="array" aca="1" ref="O587" ca="1">INDEX({"Loan";"Cash";"Lease"}, RANDBETWEEN(1,3))</f>
        <v>Cash</v>
      </c>
    </row>
    <row r="588" spans="1:15" x14ac:dyDescent="0.2">
      <c r="A588" s="4">
        <v>586</v>
      </c>
      <c r="B588" s="5">
        <f t="shared" ca="1" si="81"/>
        <v>45637</v>
      </c>
      <c r="C588" s="4" t="str" cm="1">
        <f t="array" aca="1" ref="C588" ca="1">INDEX({"Cochin";"Delhi";"Mumbai";"Pune";"Bengaluru"}, RANDBETWEEN(1,5))</f>
        <v>Mumbai</v>
      </c>
      <c r="D588" s="4" t="str" cm="1">
        <f t="array" aca="1" ref="D588" ca="1">INDEX({"C-Class";"E-Class";"S-Class";"GLA";"GLC";"GLE";"GLS";"EQB"}, RANDBETWEEN(1,8))</f>
        <v>S-Class</v>
      </c>
      <c r="E588" s="4" t="str">
        <f t="shared" ca="1" si="82"/>
        <v>Sedan</v>
      </c>
      <c r="F588" s="4">
        <f t="shared" ca="1" si="83"/>
        <v>5</v>
      </c>
      <c r="G588" s="8">
        <f t="shared" ca="1" si="84"/>
        <v>24654139</v>
      </c>
      <c r="H588" s="8">
        <f t="shared" ca="1" si="85"/>
        <v>123270695</v>
      </c>
      <c r="I588" s="8">
        <f t="shared" ca="1" si="86"/>
        <v>101081969.90000001</v>
      </c>
      <c r="J588" s="8">
        <f t="shared" ca="1" si="87"/>
        <v>22188725.099999994</v>
      </c>
      <c r="K588" s="6">
        <f t="shared" ca="1" si="88"/>
        <v>0.17999999999999994</v>
      </c>
      <c r="L588" s="4" t="str" cm="1">
        <f t="array" aca="1" ref="L58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588" s="8">
        <f t="shared" ca="1" si="89"/>
        <v>21637</v>
      </c>
      <c r="N588" s="4" t="str" cm="1">
        <f t="array" aca="1" ref="N588" ca="1">INDEX({"New";"Repeat"}, RANDBETWEEN(1,2))</f>
        <v>New</v>
      </c>
      <c r="O588" s="4" t="str" cm="1">
        <f t="array" aca="1" ref="O588" ca="1">INDEX({"Loan";"Cash";"Lease"}, RANDBETWEEN(1,3))</f>
        <v>Lease</v>
      </c>
    </row>
    <row r="589" spans="1:15" x14ac:dyDescent="0.2">
      <c r="A589" s="4">
        <v>587</v>
      </c>
      <c r="B589" s="5">
        <f t="shared" ca="1" si="81"/>
        <v>45211</v>
      </c>
      <c r="C589" s="4" t="str" cm="1">
        <f t="array" aca="1" ref="C589" ca="1">INDEX({"Cochin";"Delhi";"Mumbai";"Pune";"Bengaluru"}, RANDBETWEEN(1,5))</f>
        <v>Mumbai</v>
      </c>
      <c r="D589" s="4" t="str" cm="1">
        <f t="array" aca="1" ref="D589" ca="1">INDEX({"C-Class";"E-Class";"S-Class";"GLA";"GLC";"GLE";"GLS";"EQB"}, RANDBETWEEN(1,8))</f>
        <v>C-Class</v>
      </c>
      <c r="E589" s="4" t="str">
        <f t="shared" ca="1" si="82"/>
        <v>Sedan</v>
      </c>
      <c r="F589" s="4">
        <f t="shared" ca="1" si="83"/>
        <v>1</v>
      </c>
      <c r="G589" s="8">
        <f t="shared" ca="1" si="84"/>
        <v>5623607</v>
      </c>
      <c r="H589" s="8">
        <f t="shared" ca="1" si="85"/>
        <v>5623607</v>
      </c>
      <c r="I589" s="8">
        <f t="shared" ca="1" si="86"/>
        <v>4498885.5999999996</v>
      </c>
      <c r="J589" s="8">
        <f t="shared" ca="1" si="87"/>
        <v>1124721.4000000004</v>
      </c>
      <c r="K589" s="6">
        <f t="shared" ca="1" si="88"/>
        <v>0.20000000000000007</v>
      </c>
      <c r="L589" s="4" t="str" cm="1">
        <f t="array" aca="1" ref="L58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589" s="8">
        <f t="shared" ca="1" si="89"/>
        <v>4897</v>
      </c>
      <c r="N589" s="4" t="str" cm="1">
        <f t="array" aca="1" ref="N589" ca="1">INDEX({"New";"Repeat"}, RANDBETWEEN(1,2))</f>
        <v>Repeat</v>
      </c>
      <c r="O589" s="4" t="str" cm="1">
        <f t="array" aca="1" ref="O589" ca="1">INDEX({"Loan";"Cash";"Lease"}, RANDBETWEEN(1,3))</f>
        <v>Lease</v>
      </c>
    </row>
    <row r="590" spans="1:15" x14ac:dyDescent="0.2">
      <c r="A590" s="4">
        <v>588</v>
      </c>
      <c r="B590" s="5">
        <f t="shared" ca="1" si="81"/>
        <v>45102</v>
      </c>
      <c r="C590" s="4" t="str" cm="1">
        <f t="array" aca="1" ref="C590" ca="1">INDEX({"Cochin";"Delhi";"Mumbai";"Pune";"Bengaluru"}, RANDBETWEEN(1,5))</f>
        <v>Cochin</v>
      </c>
      <c r="D590" s="4" t="str" cm="1">
        <f t="array" aca="1" ref="D590" ca="1">INDEX({"C-Class";"E-Class";"S-Class";"GLA";"GLC";"GLE";"GLS";"EQB"}, RANDBETWEEN(1,8))</f>
        <v>GLA</v>
      </c>
      <c r="E590" s="4" t="str">
        <f t="shared" ca="1" si="82"/>
        <v>SUV</v>
      </c>
      <c r="F590" s="4">
        <f t="shared" ca="1" si="83"/>
        <v>4</v>
      </c>
      <c r="G590" s="8">
        <f t="shared" ca="1" si="84"/>
        <v>4685815</v>
      </c>
      <c r="H590" s="8">
        <f t="shared" ca="1" si="85"/>
        <v>18743260</v>
      </c>
      <c r="I590" s="8">
        <f t="shared" ca="1" si="86"/>
        <v>13495147.199999999</v>
      </c>
      <c r="J590" s="8">
        <f t="shared" ca="1" si="87"/>
        <v>5248112.8000000007</v>
      </c>
      <c r="K590" s="6">
        <f t="shared" ca="1" si="88"/>
        <v>0.28000000000000003</v>
      </c>
      <c r="L590" s="4" t="str" cm="1">
        <f t="array" aca="1" ref="L59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590" s="8">
        <f t="shared" ca="1" si="89"/>
        <v>21420</v>
      </c>
      <c r="N590" s="4" t="str" cm="1">
        <f t="array" aca="1" ref="N590" ca="1">INDEX({"New";"Repeat"}, RANDBETWEEN(1,2))</f>
        <v>New</v>
      </c>
      <c r="O590" s="4" t="str" cm="1">
        <f t="array" aca="1" ref="O590" ca="1">INDEX({"Loan";"Cash";"Lease"}, RANDBETWEEN(1,3))</f>
        <v>Lease</v>
      </c>
    </row>
    <row r="591" spans="1:15" x14ac:dyDescent="0.2">
      <c r="A591" s="4">
        <v>589</v>
      </c>
      <c r="B591" s="5">
        <f t="shared" ca="1" si="81"/>
        <v>45689</v>
      </c>
      <c r="C591" s="4" t="str" cm="1">
        <f t="array" aca="1" ref="C591" ca="1">INDEX({"Cochin";"Delhi";"Mumbai";"Pune";"Bengaluru"}, RANDBETWEEN(1,5))</f>
        <v>Delhi</v>
      </c>
      <c r="D591" s="4" t="str" cm="1">
        <f t="array" aca="1" ref="D591" ca="1">INDEX({"C-Class";"E-Class";"S-Class";"GLA";"GLC";"GLE";"GLS";"EQB"}, RANDBETWEEN(1,8))</f>
        <v>GLE</v>
      </c>
      <c r="E591" s="4" t="str">
        <f t="shared" ca="1" si="82"/>
        <v>SUV</v>
      </c>
      <c r="F591" s="4">
        <f t="shared" ca="1" si="83"/>
        <v>2</v>
      </c>
      <c r="G591" s="8">
        <f t="shared" ca="1" si="84"/>
        <v>12517978</v>
      </c>
      <c r="H591" s="8">
        <f t="shared" ca="1" si="85"/>
        <v>25035956</v>
      </c>
      <c r="I591" s="8">
        <f t="shared" ca="1" si="86"/>
        <v>17525169.199999999</v>
      </c>
      <c r="J591" s="8">
        <f t="shared" ca="1" si="87"/>
        <v>7510786.8000000007</v>
      </c>
      <c r="K591" s="6">
        <f t="shared" ca="1" si="88"/>
        <v>0.30000000000000004</v>
      </c>
      <c r="L591" s="4" t="str" cm="1">
        <f t="array" aca="1" ref="L59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591" s="8">
        <f t="shared" ca="1" si="89"/>
        <v>5382</v>
      </c>
      <c r="N591" s="4" t="str" cm="1">
        <f t="array" aca="1" ref="N591" ca="1">INDEX({"New";"Repeat"}, RANDBETWEEN(1,2))</f>
        <v>Repeat</v>
      </c>
      <c r="O591" s="4" t="str" cm="1">
        <f t="array" aca="1" ref="O591" ca="1">INDEX({"Loan";"Cash";"Lease"}, RANDBETWEEN(1,3))</f>
        <v>Lease</v>
      </c>
    </row>
    <row r="592" spans="1:15" x14ac:dyDescent="0.2">
      <c r="A592" s="4">
        <v>590</v>
      </c>
      <c r="B592" s="5">
        <f t="shared" ca="1" si="81"/>
        <v>45420</v>
      </c>
      <c r="C592" s="4" t="str" cm="1">
        <f t="array" aca="1" ref="C592" ca="1">INDEX({"Cochin";"Delhi";"Mumbai";"Pune";"Bengaluru"}, RANDBETWEEN(1,5))</f>
        <v>Delhi</v>
      </c>
      <c r="D592" s="4" t="str" cm="1">
        <f t="array" aca="1" ref="D592" ca="1">INDEX({"C-Class";"E-Class";"S-Class";"GLA";"GLC";"GLE";"GLS";"EQB"}, RANDBETWEEN(1,8))</f>
        <v>GLE</v>
      </c>
      <c r="E592" s="4" t="str">
        <f t="shared" ca="1" si="82"/>
        <v>SUV</v>
      </c>
      <c r="F592" s="4">
        <f t="shared" ca="1" si="83"/>
        <v>4</v>
      </c>
      <c r="G592" s="8">
        <f t="shared" ca="1" si="84"/>
        <v>9261507</v>
      </c>
      <c r="H592" s="8">
        <f t="shared" ca="1" si="85"/>
        <v>37046028</v>
      </c>
      <c r="I592" s="8">
        <f t="shared" ca="1" si="86"/>
        <v>27043600.440000001</v>
      </c>
      <c r="J592" s="8">
        <f t="shared" ca="1" si="87"/>
        <v>10002427.559999999</v>
      </c>
      <c r="K592" s="6">
        <f t="shared" ca="1" si="88"/>
        <v>0.26999999999999996</v>
      </c>
      <c r="L592" s="4" t="str" cm="1">
        <f t="array" aca="1" ref="L59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92" s="8">
        <f t="shared" ca="1" si="89"/>
        <v>4259</v>
      </c>
      <c r="N592" s="4" t="str" cm="1">
        <f t="array" aca="1" ref="N592" ca="1">INDEX({"New";"Repeat"}, RANDBETWEEN(1,2))</f>
        <v>Repeat</v>
      </c>
      <c r="O592" s="4" t="str" cm="1">
        <f t="array" aca="1" ref="O592" ca="1">INDEX({"Loan";"Cash";"Lease"}, RANDBETWEEN(1,3))</f>
        <v>Cash</v>
      </c>
    </row>
    <row r="593" spans="1:15" x14ac:dyDescent="0.2">
      <c r="A593" s="4">
        <v>591</v>
      </c>
      <c r="B593" s="5">
        <f t="shared" ca="1" si="81"/>
        <v>45534</v>
      </c>
      <c r="C593" s="4" t="str" cm="1">
        <f t="array" aca="1" ref="C593" ca="1">INDEX({"Cochin";"Delhi";"Mumbai";"Pune";"Bengaluru"}, RANDBETWEEN(1,5))</f>
        <v>Mumbai</v>
      </c>
      <c r="D593" s="4" t="str" cm="1">
        <f t="array" aca="1" ref="D593" ca="1">INDEX({"C-Class";"E-Class";"S-Class";"GLA";"GLC";"GLE";"GLS";"EQB"}, RANDBETWEEN(1,8))</f>
        <v>GLE</v>
      </c>
      <c r="E593" s="4" t="str">
        <f t="shared" ca="1" si="82"/>
        <v>SUV</v>
      </c>
      <c r="F593" s="4">
        <f t="shared" ca="1" si="83"/>
        <v>5</v>
      </c>
      <c r="G593" s="8">
        <f t="shared" ca="1" si="84"/>
        <v>9775529</v>
      </c>
      <c r="H593" s="8">
        <f t="shared" ca="1" si="85"/>
        <v>48877645</v>
      </c>
      <c r="I593" s="8">
        <f t="shared" ca="1" si="86"/>
        <v>34703127.950000003</v>
      </c>
      <c r="J593" s="8">
        <f t="shared" ca="1" si="87"/>
        <v>14174517.049999997</v>
      </c>
      <c r="K593" s="6">
        <f t="shared" ca="1" si="88"/>
        <v>0.28999999999999992</v>
      </c>
      <c r="L593" s="4" t="str" cm="1">
        <f t="array" aca="1" ref="L59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93" s="8">
        <f t="shared" ca="1" si="89"/>
        <v>3974</v>
      </c>
      <c r="N593" s="4" t="str" cm="1">
        <f t="array" aca="1" ref="N593" ca="1">INDEX({"New";"Repeat"}, RANDBETWEEN(1,2))</f>
        <v>Repeat</v>
      </c>
      <c r="O593" s="4" t="str" cm="1">
        <f t="array" aca="1" ref="O593" ca="1">INDEX({"Loan";"Cash";"Lease"}, RANDBETWEEN(1,3))</f>
        <v>Cash</v>
      </c>
    </row>
    <row r="594" spans="1:15" x14ac:dyDescent="0.2">
      <c r="A594" s="4">
        <v>592</v>
      </c>
      <c r="B594" s="5">
        <f t="shared" ca="1" si="81"/>
        <v>45258</v>
      </c>
      <c r="C594" s="4" t="str" cm="1">
        <f t="array" aca="1" ref="C594" ca="1">INDEX({"Cochin";"Delhi";"Mumbai";"Pune";"Bengaluru"}, RANDBETWEEN(1,5))</f>
        <v>Bengaluru</v>
      </c>
      <c r="D594" s="4" t="str" cm="1">
        <f t="array" aca="1" ref="D594" ca="1">INDEX({"C-Class";"E-Class";"S-Class";"GLA";"GLC";"GLE";"GLS";"EQB"}, RANDBETWEEN(1,8))</f>
        <v>GLS</v>
      </c>
      <c r="E594" s="4" t="str">
        <f t="shared" ca="1" si="82"/>
        <v>SUV</v>
      </c>
      <c r="F594" s="4">
        <f t="shared" ca="1" si="83"/>
        <v>3</v>
      </c>
      <c r="G594" s="8">
        <f t="shared" ca="1" si="84"/>
        <v>15246316</v>
      </c>
      <c r="H594" s="8">
        <f t="shared" ca="1" si="85"/>
        <v>45738948</v>
      </c>
      <c r="I594" s="8">
        <f t="shared" ca="1" si="86"/>
        <v>37963326.840000004</v>
      </c>
      <c r="J594" s="8">
        <f t="shared" ca="1" si="87"/>
        <v>7775621.1599999964</v>
      </c>
      <c r="K594" s="6">
        <f t="shared" ca="1" si="88"/>
        <v>0.16999999999999993</v>
      </c>
      <c r="L594" s="4" t="str" cm="1">
        <f t="array" aca="1" ref="L594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594" s="8">
        <f t="shared" ca="1" si="89"/>
        <v>18051</v>
      </c>
      <c r="N594" s="4" t="str" cm="1">
        <f t="array" aca="1" ref="N594" ca="1">INDEX({"New";"Repeat"}, RANDBETWEEN(1,2))</f>
        <v>New</v>
      </c>
      <c r="O594" s="4" t="str" cm="1">
        <f t="array" aca="1" ref="O594" ca="1">INDEX({"Loan";"Cash";"Lease"}, RANDBETWEEN(1,3))</f>
        <v>Cash</v>
      </c>
    </row>
    <row r="595" spans="1:15" x14ac:dyDescent="0.2">
      <c r="A595" s="4">
        <v>593</v>
      </c>
      <c r="B595" s="5">
        <f t="shared" ca="1" si="81"/>
        <v>44978</v>
      </c>
      <c r="C595" s="4" t="str" cm="1">
        <f t="array" aca="1" ref="C595" ca="1">INDEX({"Cochin";"Delhi";"Mumbai";"Pune";"Bengaluru"}, RANDBETWEEN(1,5))</f>
        <v>Bengaluru</v>
      </c>
      <c r="D595" s="4" t="str" cm="1">
        <f t="array" aca="1" ref="D595" ca="1">INDEX({"C-Class";"E-Class";"S-Class";"GLA";"GLC";"GLE";"GLS";"EQB"}, RANDBETWEEN(1,8))</f>
        <v>GLC</v>
      </c>
      <c r="E595" s="4" t="str">
        <f t="shared" ca="1" si="82"/>
        <v>SUV</v>
      </c>
      <c r="F595" s="4">
        <f t="shared" ca="1" si="83"/>
        <v>3</v>
      </c>
      <c r="G595" s="8">
        <f t="shared" ca="1" si="84"/>
        <v>6539683</v>
      </c>
      <c r="H595" s="8">
        <f t="shared" ca="1" si="85"/>
        <v>19619049</v>
      </c>
      <c r="I595" s="8">
        <f t="shared" ca="1" si="86"/>
        <v>14518096.26</v>
      </c>
      <c r="J595" s="8">
        <f t="shared" ca="1" si="87"/>
        <v>5100952.74</v>
      </c>
      <c r="K595" s="6">
        <f t="shared" ca="1" si="88"/>
        <v>0.26</v>
      </c>
      <c r="L595" s="4" t="str" cm="1">
        <f t="array" aca="1" ref="L59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595" s="8">
        <f t="shared" ca="1" si="89"/>
        <v>5902</v>
      </c>
      <c r="N595" s="4" t="str" cm="1">
        <f t="array" aca="1" ref="N595" ca="1">INDEX({"New";"Repeat"}, RANDBETWEEN(1,2))</f>
        <v>Repeat</v>
      </c>
      <c r="O595" s="4" t="str" cm="1">
        <f t="array" aca="1" ref="O595" ca="1">INDEX({"Loan";"Cash";"Lease"}, RANDBETWEEN(1,3))</f>
        <v>Lease</v>
      </c>
    </row>
    <row r="596" spans="1:15" x14ac:dyDescent="0.2">
      <c r="A596" s="4">
        <v>594</v>
      </c>
      <c r="B596" s="5">
        <f t="shared" ca="1" si="81"/>
        <v>45269</v>
      </c>
      <c r="C596" s="4" t="str" cm="1">
        <f t="array" aca="1" ref="C596" ca="1">INDEX({"Cochin";"Delhi";"Mumbai";"Pune";"Bengaluru"}, RANDBETWEEN(1,5))</f>
        <v>Cochin</v>
      </c>
      <c r="D596" s="4" t="str" cm="1">
        <f t="array" aca="1" ref="D596" ca="1">INDEX({"C-Class";"E-Class";"S-Class";"GLA";"GLC";"GLE";"GLS";"EQB"}, RANDBETWEEN(1,8))</f>
        <v>GLE</v>
      </c>
      <c r="E596" s="4" t="str">
        <f t="shared" ca="1" si="82"/>
        <v>SUV</v>
      </c>
      <c r="F596" s="4">
        <f t="shared" ca="1" si="83"/>
        <v>1</v>
      </c>
      <c r="G596" s="8">
        <f t="shared" ca="1" si="84"/>
        <v>9906110</v>
      </c>
      <c r="H596" s="8">
        <f t="shared" ca="1" si="85"/>
        <v>9906110</v>
      </c>
      <c r="I596" s="8">
        <f t="shared" ca="1" si="86"/>
        <v>7033338.0999999996</v>
      </c>
      <c r="J596" s="8">
        <f t="shared" ca="1" si="87"/>
        <v>2872771.9000000004</v>
      </c>
      <c r="K596" s="6">
        <f t="shared" ca="1" si="88"/>
        <v>0.29000000000000004</v>
      </c>
      <c r="L596" s="4" t="str" cm="1">
        <f t="array" aca="1" ref="L596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596" s="8">
        <f t="shared" ca="1" si="89"/>
        <v>3769</v>
      </c>
      <c r="N596" s="4" t="str" cm="1">
        <f t="array" aca="1" ref="N596" ca="1">INDEX({"New";"Repeat"}, RANDBETWEEN(1,2))</f>
        <v>Repeat</v>
      </c>
      <c r="O596" s="4" t="str" cm="1">
        <f t="array" aca="1" ref="O596" ca="1">INDEX({"Loan";"Cash";"Lease"}, RANDBETWEEN(1,3))</f>
        <v>Loan</v>
      </c>
    </row>
    <row r="597" spans="1:15" x14ac:dyDescent="0.2">
      <c r="A597" s="4">
        <v>595</v>
      </c>
      <c r="B597" s="5">
        <f t="shared" ca="1" si="81"/>
        <v>45668</v>
      </c>
      <c r="C597" s="4" t="str" cm="1">
        <f t="array" aca="1" ref="C597" ca="1">INDEX({"Cochin";"Delhi";"Mumbai";"Pune";"Bengaluru"}, RANDBETWEEN(1,5))</f>
        <v>Pune</v>
      </c>
      <c r="D597" s="4" t="str" cm="1">
        <f t="array" aca="1" ref="D597" ca="1">INDEX({"C-Class";"E-Class";"S-Class";"GLA";"GLC";"GLE";"GLS";"EQB"}, RANDBETWEEN(1,8))</f>
        <v>GLA</v>
      </c>
      <c r="E597" s="4" t="str">
        <f t="shared" ca="1" si="82"/>
        <v>SUV</v>
      </c>
      <c r="F597" s="4">
        <f t="shared" ca="1" si="83"/>
        <v>2</v>
      </c>
      <c r="G597" s="8">
        <f t="shared" ca="1" si="84"/>
        <v>5006461</v>
      </c>
      <c r="H597" s="8">
        <f t="shared" ca="1" si="85"/>
        <v>10012922</v>
      </c>
      <c r="I597" s="8">
        <f t="shared" ca="1" si="86"/>
        <v>7910208.3799999999</v>
      </c>
      <c r="J597" s="8">
        <f t="shared" ca="1" si="87"/>
        <v>2102713.62</v>
      </c>
      <c r="K597" s="6">
        <f t="shared" ca="1" si="88"/>
        <v>0.21000000000000002</v>
      </c>
      <c r="L597" s="4" t="str" cm="1">
        <f t="array" aca="1" ref="L59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597" s="8">
        <f t="shared" ca="1" si="89"/>
        <v>16538</v>
      </c>
      <c r="N597" s="4" t="str" cm="1">
        <f t="array" aca="1" ref="N597" ca="1">INDEX({"New";"Repeat"}, RANDBETWEEN(1,2))</f>
        <v>New</v>
      </c>
      <c r="O597" s="4" t="str" cm="1">
        <f t="array" aca="1" ref="O597" ca="1">INDEX({"Loan";"Cash";"Lease"}, RANDBETWEEN(1,3))</f>
        <v>Loan</v>
      </c>
    </row>
    <row r="598" spans="1:15" x14ac:dyDescent="0.2">
      <c r="A598" s="4">
        <v>596</v>
      </c>
      <c r="B598" s="5">
        <f t="shared" ca="1" si="81"/>
        <v>45363</v>
      </c>
      <c r="C598" s="4" t="str" cm="1">
        <f t="array" aca="1" ref="C598" ca="1">INDEX({"Cochin";"Delhi";"Mumbai";"Pune";"Bengaluru"}, RANDBETWEEN(1,5))</f>
        <v>Pune</v>
      </c>
      <c r="D598" s="4" t="str" cm="1">
        <f t="array" aca="1" ref="D598" ca="1">INDEX({"C-Class";"E-Class";"S-Class";"GLA";"GLC";"GLE";"GLS";"EQB"}, RANDBETWEEN(1,8))</f>
        <v>GLA</v>
      </c>
      <c r="E598" s="4" t="str">
        <f t="shared" ca="1" si="82"/>
        <v>SUV</v>
      </c>
      <c r="F598" s="4">
        <f t="shared" ca="1" si="83"/>
        <v>3</v>
      </c>
      <c r="G598" s="8">
        <f t="shared" ca="1" si="84"/>
        <v>5321511</v>
      </c>
      <c r="H598" s="8">
        <f t="shared" ca="1" si="85"/>
        <v>15964533</v>
      </c>
      <c r="I598" s="8">
        <f t="shared" ca="1" si="86"/>
        <v>11334818.43</v>
      </c>
      <c r="J598" s="8">
        <f t="shared" ca="1" si="87"/>
        <v>4629714.57</v>
      </c>
      <c r="K598" s="6">
        <f t="shared" ca="1" si="88"/>
        <v>0.29000000000000004</v>
      </c>
      <c r="L598" s="4" t="str" cm="1">
        <f t="array" aca="1" ref="L59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598" s="8">
        <f t="shared" ca="1" si="89"/>
        <v>5870</v>
      </c>
      <c r="N598" s="4" t="str" cm="1">
        <f t="array" aca="1" ref="N598" ca="1">INDEX({"New";"Repeat"}, RANDBETWEEN(1,2))</f>
        <v>Repeat</v>
      </c>
      <c r="O598" s="4" t="str" cm="1">
        <f t="array" aca="1" ref="O598" ca="1">INDEX({"Loan";"Cash";"Lease"}, RANDBETWEEN(1,3))</f>
        <v>Loan</v>
      </c>
    </row>
    <row r="599" spans="1:15" x14ac:dyDescent="0.2">
      <c r="A599" s="4">
        <v>597</v>
      </c>
      <c r="B599" s="5">
        <f t="shared" ca="1" si="81"/>
        <v>45741</v>
      </c>
      <c r="C599" s="4" t="str" cm="1">
        <f t="array" aca="1" ref="C599" ca="1">INDEX({"Cochin";"Delhi";"Mumbai";"Pune";"Bengaluru"}, RANDBETWEEN(1,5))</f>
        <v>Pune</v>
      </c>
      <c r="D599" s="4" t="str" cm="1">
        <f t="array" aca="1" ref="D599" ca="1">INDEX({"C-Class";"E-Class";"S-Class";"GLA";"GLC";"GLE";"GLS";"EQB"}, RANDBETWEEN(1,8))</f>
        <v>EQB</v>
      </c>
      <c r="E599" s="4" t="str">
        <f t="shared" ca="1" si="82"/>
        <v>EV</v>
      </c>
      <c r="F599" s="4">
        <f t="shared" ca="1" si="83"/>
        <v>1</v>
      </c>
      <c r="G599" s="8">
        <f t="shared" ca="1" si="84"/>
        <v>7337051</v>
      </c>
      <c r="H599" s="8">
        <f t="shared" ca="1" si="85"/>
        <v>7337051</v>
      </c>
      <c r="I599" s="8">
        <f t="shared" ca="1" si="86"/>
        <v>5356047.2300000004</v>
      </c>
      <c r="J599" s="8">
        <f t="shared" ca="1" si="87"/>
        <v>1981003.7699999996</v>
      </c>
      <c r="K599" s="6">
        <f t="shared" ca="1" si="88"/>
        <v>0.26999999999999996</v>
      </c>
      <c r="L599" s="4" t="str" cm="1">
        <f t="array" aca="1" ref="L59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599" s="8">
        <f t="shared" ca="1" si="89"/>
        <v>5958</v>
      </c>
      <c r="N599" s="4" t="str" cm="1">
        <f t="array" aca="1" ref="N599" ca="1">INDEX({"New";"Repeat"}, RANDBETWEEN(1,2))</f>
        <v>Repeat</v>
      </c>
      <c r="O599" s="4" t="str" cm="1">
        <f t="array" aca="1" ref="O599" ca="1">INDEX({"Loan";"Cash";"Lease"}, RANDBETWEEN(1,3))</f>
        <v>Lease</v>
      </c>
    </row>
    <row r="600" spans="1:15" x14ac:dyDescent="0.2">
      <c r="A600" s="4">
        <v>598</v>
      </c>
      <c r="B600" s="5">
        <f t="shared" ca="1" si="81"/>
        <v>45485</v>
      </c>
      <c r="C600" s="4" t="str" cm="1">
        <f t="array" aca="1" ref="C600" ca="1">INDEX({"Cochin";"Delhi";"Mumbai";"Pune";"Bengaluru"}, RANDBETWEEN(1,5))</f>
        <v>Mumbai</v>
      </c>
      <c r="D600" s="4" t="str" cm="1">
        <f t="array" aca="1" ref="D600" ca="1">INDEX({"C-Class";"E-Class";"S-Class";"GLA";"GLC";"GLE";"GLS";"EQB"}, RANDBETWEEN(1,8))</f>
        <v>GLA</v>
      </c>
      <c r="E600" s="4" t="str">
        <f t="shared" ca="1" si="82"/>
        <v>SUV</v>
      </c>
      <c r="F600" s="4">
        <f t="shared" ca="1" si="83"/>
        <v>5</v>
      </c>
      <c r="G600" s="8">
        <f t="shared" ca="1" si="84"/>
        <v>4760006</v>
      </c>
      <c r="H600" s="8">
        <f t="shared" ca="1" si="85"/>
        <v>23800030</v>
      </c>
      <c r="I600" s="8">
        <f t="shared" ca="1" si="86"/>
        <v>18326023.100000001</v>
      </c>
      <c r="J600" s="8">
        <f t="shared" ca="1" si="87"/>
        <v>5474006.8999999985</v>
      </c>
      <c r="K600" s="6">
        <f t="shared" ca="1" si="88"/>
        <v>0.22999999999999993</v>
      </c>
      <c r="L600" s="4" t="str" cm="1">
        <f t="array" aca="1" ref="L60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00" s="8">
        <f t="shared" ca="1" si="89"/>
        <v>4446</v>
      </c>
      <c r="N600" s="4" t="str" cm="1">
        <f t="array" aca="1" ref="N600" ca="1">INDEX({"New";"Repeat"}, RANDBETWEEN(1,2))</f>
        <v>Repeat</v>
      </c>
      <c r="O600" s="4" t="str" cm="1">
        <f t="array" aca="1" ref="O600" ca="1">INDEX({"Loan";"Cash";"Lease"}, RANDBETWEEN(1,3))</f>
        <v>Loan</v>
      </c>
    </row>
    <row r="601" spans="1:15" x14ac:dyDescent="0.2">
      <c r="A601" s="4">
        <v>599</v>
      </c>
      <c r="B601" s="5">
        <f t="shared" ca="1" si="81"/>
        <v>45051</v>
      </c>
      <c r="C601" s="4" t="str" cm="1">
        <f t="array" aca="1" ref="C601" ca="1">INDEX({"Cochin";"Delhi";"Mumbai";"Pune";"Bengaluru"}, RANDBETWEEN(1,5))</f>
        <v>Mumbai</v>
      </c>
      <c r="D601" s="4" t="str" cm="1">
        <f t="array" aca="1" ref="D601" ca="1">INDEX({"C-Class";"E-Class";"S-Class";"GLA";"GLC";"GLE";"GLS";"EQB"}, RANDBETWEEN(1,8))</f>
        <v>GLA</v>
      </c>
      <c r="E601" s="4" t="str">
        <f t="shared" ca="1" si="82"/>
        <v>SUV</v>
      </c>
      <c r="F601" s="4">
        <f t="shared" ca="1" si="83"/>
        <v>5</v>
      </c>
      <c r="G601" s="8">
        <f t="shared" ca="1" si="84"/>
        <v>5386851</v>
      </c>
      <c r="H601" s="8">
        <f t="shared" ca="1" si="85"/>
        <v>26934255</v>
      </c>
      <c r="I601" s="8">
        <f t="shared" ca="1" si="86"/>
        <v>21278061.449999999</v>
      </c>
      <c r="J601" s="8">
        <f t="shared" ca="1" si="87"/>
        <v>5656193.5500000007</v>
      </c>
      <c r="K601" s="6">
        <f t="shared" ca="1" si="88"/>
        <v>0.21000000000000002</v>
      </c>
      <c r="L601" s="4" t="str" cm="1">
        <f t="array" aca="1" ref="L60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01" s="8">
        <f t="shared" ca="1" si="89"/>
        <v>24487</v>
      </c>
      <c r="N601" s="4" t="str" cm="1">
        <f t="array" aca="1" ref="N601" ca="1">INDEX({"New";"Repeat"}, RANDBETWEEN(1,2))</f>
        <v>New</v>
      </c>
      <c r="O601" s="4" t="str" cm="1">
        <f t="array" aca="1" ref="O601" ca="1">INDEX({"Loan";"Cash";"Lease"}, RANDBETWEEN(1,3))</f>
        <v>Cash</v>
      </c>
    </row>
    <row r="602" spans="1:15" x14ac:dyDescent="0.2">
      <c r="A602" s="4">
        <v>600</v>
      </c>
      <c r="B602" s="5">
        <f t="shared" ca="1" si="81"/>
        <v>45493</v>
      </c>
      <c r="C602" s="4" t="str" cm="1">
        <f t="array" aca="1" ref="C602" ca="1">INDEX({"Cochin";"Delhi";"Mumbai";"Pune";"Bengaluru"}, RANDBETWEEN(1,5))</f>
        <v>Bengaluru</v>
      </c>
      <c r="D602" s="4" t="str" cm="1">
        <f t="array" aca="1" ref="D602" ca="1">INDEX({"C-Class";"E-Class";"S-Class";"GLA";"GLC";"GLE";"GLS";"EQB"}, RANDBETWEEN(1,8))</f>
        <v>E-Class</v>
      </c>
      <c r="E602" s="4" t="str">
        <f t="shared" ca="1" si="82"/>
        <v>Sedan</v>
      </c>
      <c r="F602" s="4">
        <f t="shared" ca="1" si="83"/>
        <v>4</v>
      </c>
      <c r="G602" s="8">
        <f t="shared" ca="1" si="84"/>
        <v>8434907</v>
      </c>
      <c r="H602" s="8">
        <f t="shared" ca="1" si="85"/>
        <v>33739628</v>
      </c>
      <c r="I602" s="8">
        <f t="shared" ca="1" si="86"/>
        <v>25642117.280000001</v>
      </c>
      <c r="J602" s="8">
        <f t="shared" ca="1" si="87"/>
        <v>8097510.7199999988</v>
      </c>
      <c r="K602" s="6">
        <f t="shared" ca="1" si="88"/>
        <v>0.23999999999999996</v>
      </c>
      <c r="L602" s="4" t="str" cm="1">
        <f t="array" aca="1" ref="L602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602" s="8">
        <f t="shared" ca="1" si="89"/>
        <v>17282</v>
      </c>
      <c r="N602" s="4" t="str" cm="1">
        <f t="array" aca="1" ref="N602" ca="1">INDEX({"New";"Repeat"}, RANDBETWEEN(1,2))</f>
        <v>New</v>
      </c>
      <c r="O602" s="4" t="str" cm="1">
        <f t="array" aca="1" ref="O602" ca="1">INDEX({"Loan";"Cash";"Lease"}, RANDBETWEEN(1,3))</f>
        <v>Lease</v>
      </c>
    </row>
    <row r="603" spans="1:15" x14ac:dyDescent="0.2">
      <c r="A603" s="4">
        <v>601</v>
      </c>
      <c r="B603" s="5">
        <f t="shared" ca="1" si="81"/>
        <v>45320</v>
      </c>
      <c r="C603" s="4" t="str" cm="1">
        <f t="array" aca="1" ref="C603" ca="1">INDEX({"Cochin";"Delhi";"Mumbai";"Pune";"Bengaluru"}, RANDBETWEEN(1,5))</f>
        <v>Cochin</v>
      </c>
      <c r="D603" s="4" t="str" cm="1">
        <f t="array" aca="1" ref="D603" ca="1">INDEX({"C-Class";"E-Class";"S-Class";"GLA";"GLC";"GLE";"GLS";"EQB"}, RANDBETWEEN(1,8))</f>
        <v>GLC</v>
      </c>
      <c r="E603" s="4" t="str">
        <f t="shared" ca="1" si="82"/>
        <v>SUV</v>
      </c>
      <c r="F603" s="4">
        <f t="shared" ca="1" si="83"/>
        <v>3</v>
      </c>
      <c r="G603" s="8">
        <f t="shared" ca="1" si="84"/>
        <v>7240924</v>
      </c>
      <c r="H603" s="8">
        <f t="shared" ca="1" si="85"/>
        <v>21722772</v>
      </c>
      <c r="I603" s="8">
        <f t="shared" ca="1" si="86"/>
        <v>17378217.600000001</v>
      </c>
      <c r="J603" s="8">
        <f t="shared" ca="1" si="87"/>
        <v>4344554.3999999985</v>
      </c>
      <c r="K603" s="6">
        <f t="shared" ca="1" si="88"/>
        <v>0.19999999999999993</v>
      </c>
      <c r="L603" s="4" t="str" cm="1">
        <f t="array" aca="1" ref="L60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03" s="8">
        <f t="shared" ca="1" si="89"/>
        <v>3380</v>
      </c>
      <c r="N603" s="4" t="str" cm="1">
        <f t="array" aca="1" ref="N603" ca="1">INDEX({"New";"Repeat"}, RANDBETWEEN(1,2))</f>
        <v>Repeat</v>
      </c>
      <c r="O603" s="4" t="str" cm="1">
        <f t="array" aca="1" ref="O603" ca="1">INDEX({"Loan";"Cash";"Lease"}, RANDBETWEEN(1,3))</f>
        <v>Lease</v>
      </c>
    </row>
    <row r="604" spans="1:15" x14ac:dyDescent="0.2">
      <c r="A604" s="4">
        <v>602</v>
      </c>
      <c r="B604" s="5">
        <f t="shared" ca="1" si="81"/>
        <v>45051</v>
      </c>
      <c r="C604" s="4" t="str" cm="1">
        <f t="array" aca="1" ref="C604" ca="1">INDEX({"Cochin";"Delhi";"Mumbai";"Pune";"Bengaluru"}, RANDBETWEEN(1,5))</f>
        <v>Bengaluru</v>
      </c>
      <c r="D604" s="4" t="str" cm="1">
        <f t="array" aca="1" ref="D604" ca="1">INDEX({"C-Class";"E-Class";"S-Class";"GLA";"GLC";"GLE";"GLS";"EQB"}, RANDBETWEEN(1,8))</f>
        <v>S-Class</v>
      </c>
      <c r="E604" s="4" t="str">
        <f t="shared" ca="1" si="82"/>
        <v>Sedan</v>
      </c>
      <c r="F604" s="4">
        <f t="shared" ca="1" si="83"/>
        <v>5</v>
      </c>
      <c r="G604" s="8">
        <f t="shared" ca="1" si="84"/>
        <v>23371306</v>
      </c>
      <c r="H604" s="8">
        <f t="shared" ca="1" si="85"/>
        <v>116856530</v>
      </c>
      <c r="I604" s="8">
        <f t="shared" ca="1" si="86"/>
        <v>95822354.599999994</v>
      </c>
      <c r="J604" s="8">
        <f t="shared" ca="1" si="87"/>
        <v>21034175.400000006</v>
      </c>
      <c r="K604" s="6">
        <f t="shared" ca="1" si="88"/>
        <v>0.18000000000000005</v>
      </c>
      <c r="L604" s="4" t="str" cm="1">
        <f t="array" aca="1" ref="L60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04" s="8">
        <f t="shared" ca="1" si="89"/>
        <v>7835</v>
      </c>
      <c r="N604" s="4" t="str" cm="1">
        <f t="array" aca="1" ref="N604" ca="1">INDEX({"New";"Repeat"}, RANDBETWEEN(1,2))</f>
        <v>Repeat</v>
      </c>
      <c r="O604" s="4" t="str" cm="1">
        <f t="array" aca="1" ref="O604" ca="1">INDEX({"Loan";"Cash";"Lease"}, RANDBETWEEN(1,3))</f>
        <v>Cash</v>
      </c>
    </row>
    <row r="605" spans="1:15" x14ac:dyDescent="0.2">
      <c r="A605" s="4">
        <v>603</v>
      </c>
      <c r="B605" s="5">
        <f t="shared" ca="1" si="81"/>
        <v>45547</v>
      </c>
      <c r="C605" s="4" t="str" cm="1">
        <f t="array" aca="1" ref="C605" ca="1">INDEX({"Cochin";"Delhi";"Mumbai";"Pune";"Bengaluru"}, RANDBETWEEN(1,5))</f>
        <v>Pune</v>
      </c>
      <c r="D605" s="4" t="str" cm="1">
        <f t="array" aca="1" ref="D605" ca="1">INDEX({"C-Class";"E-Class";"S-Class";"GLA";"GLC";"GLE";"GLS";"EQB"}, RANDBETWEEN(1,8))</f>
        <v>GLA</v>
      </c>
      <c r="E605" s="4" t="str">
        <f t="shared" ca="1" si="82"/>
        <v>SUV</v>
      </c>
      <c r="F605" s="4">
        <f t="shared" ca="1" si="83"/>
        <v>2</v>
      </c>
      <c r="G605" s="8">
        <f t="shared" ca="1" si="84"/>
        <v>4597140</v>
      </c>
      <c r="H605" s="8">
        <f t="shared" ca="1" si="85"/>
        <v>9194280</v>
      </c>
      <c r="I605" s="8">
        <f t="shared" ca="1" si="86"/>
        <v>7815138</v>
      </c>
      <c r="J605" s="8">
        <f t="shared" ca="1" si="87"/>
        <v>1379142</v>
      </c>
      <c r="K605" s="6">
        <f t="shared" ca="1" si="88"/>
        <v>0.15</v>
      </c>
      <c r="L605" s="4" t="str" cm="1">
        <f t="array" aca="1" ref="L60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05" s="8">
        <f t="shared" ca="1" si="89"/>
        <v>21735</v>
      </c>
      <c r="N605" s="4" t="str" cm="1">
        <f t="array" aca="1" ref="N605" ca="1">INDEX({"New";"Repeat"}, RANDBETWEEN(1,2))</f>
        <v>New</v>
      </c>
      <c r="O605" s="4" t="str" cm="1">
        <f t="array" aca="1" ref="O605" ca="1">INDEX({"Loan";"Cash";"Lease"}, RANDBETWEEN(1,3))</f>
        <v>Loan</v>
      </c>
    </row>
    <row r="606" spans="1:15" x14ac:dyDescent="0.2">
      <c r="A606" s="4">
        <v>604</v>
      </c>
      <c r="B606" s="5">
        <f t="shared" ca="1" si="81"/>
        <v>45749</v>
      </c>
      <c r="C606" s="4" t="str" cm="1">
        <f t="array" aca="1" ref="C606" ca="1">INDEX({"Cochin";"Delhi";"Mumbai";"Pune";"Bengaluru"}, RANDBETWEEN(1,5))</f>
        <v>Pune</v>
      </c>
      <c r="D606" s="4" t="str" cm="1">
        <f t="array" aca="1" ref="D606" ca="1">INDEX({"C-Class";"E-Class";"S-Class";"GLA";"GLC";"GLE";"GLS";"EQB"}, RANDBETWEEN(1,8))</f>
        <v>EQB</v>
      </c>
      <c r="E606" s="4" t="str">
        <f t="shared" ca="1" si="82"/>
        <v>EV</v>
      </c>
      <c r="F606" s="4">
        <f t="shared" ca="1" si="83"/>
        <v>5</v>
      </c>
      <c r="G606" s="8">
        <f t="shared" ca="1" si="84"/>
        <v>7548869</v>
      </c>
      <c r="H606" s="8">
        <f t="shared" ca="1" si="85"/>
        <v>37744345</v>
      </c>
      <c r="I606" s="8">
        <f t="shared" ca="1" si="86"/>
        <v>32082693.25</v>
      </c>
      <c r="J606" s="8">
        <f t="shared" ca="1" si="87"/>
        <v>5661651.75</v>
      </c>
      <c r="K606" s="6">
        <f t="shared" ca="1" si="88"/>
        <v>0.15</v>
      </c>
      <c r="L606" s="4" t="str" cm="1">
        <f t="array" aca="1" ref="L60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06" s="8">
        <f t="shared" ca="1" si="89"/>
        <v>4132</v>
      </c>
      <c r="N606" s="4" t="str" cm="1">
        <f t="array" aca="1" ref="N606" ca="1">INDEX({"New";"Repeat"}, RANDBETWEEN(1,2))</f>
        <v>Repeat</v>
      </c>
      <c r="O606" s="4" t="str" cm="1">
        <f t="array" aca="1" ref="O606" ca="1">INDEX({"Loan";"Cash";"Lease"}, RANDBETWEEN(1,3))</f>
        <v>Loan</v>
      </c>
    </row>
    <row r="607" spans="1:15" x14ac:dyDescent="0.2">
      <c r="A607" s="4">
        <v>605</v>
      </c>
      <c r="B607" s="5">
        <f t="shared" ca="1" si="81"/>
        <v>45343</v>
      </c>
      <c r="C607" s="4" t="str" cm="1">
        <f t="array" aca="1" ref="C607" ca="1">INDEX({"Cochin";"Delhi";"Mumbai";"Pune";"Bengaluru"}, RANDBETWEEN(1,5))</f>
        <v>Pune</v>
      </c>
      <c r="D607" s="4" t="str" cm="1">
        <f t="array" aca="1" ref="D607" ca="1">INDEX({"C-Class";"E-Class";"S-Class";"GLA";"GLC";"GLE";"GLS";"EQB"}, RANDBETWEEN(1,8))</f>
        <v>GLS</v>
      </c>
      <c r="E607" s="4" t="str">
        <f t="shared" ca="1" si="82"/>
        <v>SUV</v>
      </c>
      <c r="F607" s="4">
        <f t="shared" ca="1" si="83"/>
        <v>5</v>
      </c>
      <c r="G607" s="8">
        <f t="shared" ca="1" si="84"/>
        <v>13464762</v>
      </c>
      <c r="H607" s="8">
        <f t="shared" ca="1" si="85"/>
        <v>67323810</v>
      </c>
      <c r="I607" s="8">
        <f t="shared" ca="1" si="86"/>
        <v>53185809.899999999</v>
      </c>
      <c r="J607" s="8">
        <f t="shared" ca="1" si="87"/>
        <v>14138000.100000001</v>
      </c>
      <c r="K607" s="6">
        <f t="shared" ca="1" si="88"/>
        <v>0.21000000000000002</v>
      </c>
      <c r="L607" s="4" t="str" cm="1">
        <f t="array" aca="1" ref="L60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07" s="8">
        <f t="shared" ca="1" si="89"/>
        <v>6339</v>
      </c>
      <c r="N607" s="4" t="str" cm="1">
        <f t="array" aca="1" ref="N607" ca="1">INDEX({"New";"Repeat"}, RANDBETWEEN(1,2))</f>
        <v>Repeat</v>
      </c>
      <c r="O607" s="4" t="str" cm="1">
        <f t="array" aca="1" ref="O607" ca="1">INDEX({"Loan";"Cash";"Lease"}, RANDBETWEEN(1,3))</f>
        <v>Loan</v>
      </c>
    </row>
    <row r="608" spans="1:15" x14ac:dyDescent="0.2">
      <c r="A608" s="4">
        <v>606</v>
      </c>
      <c r="B608" s="5">
        <f t="shared" ca="1" si="81"/>
        <v>45872</v>
      </c>
      <c r="C608" s="4" t="str" cm="1">
        <f t="array" aca="1" ref="C608" ca="1">INDEX({"Cochin";"Delhi";"Mumbai";"Pune";"Bengaluru"}, RANDBETWEEN(1,5))</f>
        <v>Cochin</v>
      </c>
      <c r="D608" s="4" t="str" cm="1">
        <f t="array" aca="1" ref="D608" ca="1">INDEX({"C-Class";"E-Class";"S-Class";"GLA";"GLC";"GLE";"GLS";"EQB"}, RANDBETWEEN(1,8))</f>
        <v>GLS</v>
      </c>
      <c r="E608" s="4" t="str">
        <f t="shared" ca="1" si="82"/>
        <v>SUV</v>
      </c>
      <c r="F608" s="4">
        <f t="shared" ca="1" si="83"/>
        <v>5</v>
      </c>
      <c r="G608" s="8">
        <f t="shared" ca="1" si="84"/>
        <v>15542671</v>
      </c>
      <c r="H608" s="8">
        <f t="shared" ca="1" si="85"/>
        <v>77713355</v>
      </c>
      <c r="I608" s="8">
        <f t="shared" ca="1" si="86"/>
        <v>59839283.350000001</v>
      </c>
      <c r="J608" s="8">
        <f t="shared" ca="1" si="87"/>
        <v>17874071.649999999</v>
      </c>
      <c r="K608" s="6">
        <f t="shared" ca="1" si="88"/>
        <v>0.22999999999999998</v>
      </c>
      <c r="L608" s="4" t="str" cm="1">
        <f t="array" aca="1" ref="L60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08" s="8">
        <f t="shared" ca="1" si="89"/>
        <v>23674</v>
      </c>
      <c r="N608" s="4" t="str" cm="1">
        <f t="array" aca="1" ref="N608" ca="1">INDEX({"New";"Repeat"}, RANDBETWEEN(1,2))</f>
        <v>New</v>
      </c>
      <c r="O608" s="4" t="str" cm="1">
        <f t="array" aca="1" ref="O608" ca="1">INDEX({"Loan";"Cash";"Lease"}, RANDBETWEEN(1,3))</f>
        <v>Lease</v>
      </c>
    </row>
    <row r="609" spans="1:15" x14ac:dyDescent="0.2">
      <c r="A609" s="4">
        <v>607</v>
      </c>
      <c r="B609" s="5">
        <f t="shared" ca="1" si="81"/>
        <v>45074</v>
      </c>
      <c r="C609" s="4" t="str" cm="1">
        <f t="array" aca="1" ref="C609" ca="1">INDEX({"Cochin";"Delhi";"Mumbai";"Pune";"Bengaluru"}, RANDBETWEEN(1,5))</f>
        <v>Bengaluru</v>
      </c>
      <c r="D609" s="4" t="str" cm="1">
        <f t="array" aca="1" ref="D609" ca="1">INDEX({"C-Class";"E-Class";"S-Class";"GLA";"GLC";"GLE";"GLS";"EQB"}, RANDBETWEEN(1,8))</f>
        <v>GLS</v>
      </c>
      <c r="E609" s="4" t="str">
        <f t="shared" ca="1" si="82"/>
        <v>SUV</v>
      </c>
      <c r="F609" s="4">
        <f t="shared" ca="1" si="83"/>
        <v>5</v>
      </c>
      <c r="G609" s="8">
        <f t="shared" ca="1" si="84"/>
        <v>16425288</v>
      </c>
      <c r="H609" s="8">
        <f t="shared" ca="1" si="85"/>
        <v>82126440</v>
      </c>
      <c r="I609" s="8">
        <f t="shared" ca="1" si="86"/>
        <v>61594830</v>
      </c>
      <c r="J609" s="8">
        <f t="shared" ca="1" si="87"/>
        <v>20531610</v>
      </c>
      <c r="K609" s="6">
        <f t="shared" ca="1" si="88"/>
        <v>0.25</v>
      </c>
      <c r="L609" s="4" t="str" cm="1">
        <f t="array" aca="1" ref="L60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09" s="8">
        <f t="shared" ca="1" si="89"/>
        <v>15042</v>
      </c>
      <c r="N609" s="4" t="str" cm="1">
        <f t="array" aca="1" ref="N609" ca="1">INDEX({"New";"Repeat"}, RANDBETWEEN(1,2))</f>
        <v>New</v>
      </c>
      <c r="O609" s="4" t="str" cm="1">
        <f t="array" aca="1" ref="O609" ca="1">INDEX({"Loan";"Cash";"Lease"}, RANDBETWEEN(1,3))</f>
        <v>Lease</v>
      </c>
    </row>
    <row r="610" spans="1:15" x14ac:dyDescent="0.2">
      <c r="A610" s="4">
        <v>608</v>
      </c>
      <c r="B610" s="5">
        <f t="shared" ca="1" si="81"/>
        <v>45474</v>
      </c>
      <c r="C610" s="4" t="str" cm="1">
        <f t="array" aca="1" ref="C610" ca="1">INDEX({"Cochin";"Delhi";"Mumbai";"Pune";"Bengaluru"}, RANDBETWEEN(1,5))</f>
        <v>Mumbai</v>
      </c>
      <c r="D610" s="4" t="str" cm="1">
        <f t="array" aca="1" ref="D610" ca="1">INDEX({"C-Class";"E-Class";"S-Class";"GLA";"GLC";"GLE";"GLS";"EQB"}, RANDBETWEEN(1,8))</f>
        <v>EQB</v>
      </c>
      <c r="E610" s="4" t="str">
        <f t="shared" ca="1" si="82"/>
        <v>EV</v>
      </c>
      <c r="F610" s="4">
        <f t="shared" ca="1" si="83"/>
        <v>3</v>
      </c>
      <c r="G610" s="8">
        <f t="shared" ca="1" si="84"/>
        <v>7542975</v>
      </c>
      <c r="H610" s="8">
        <f t="shared" ca="1" si="85"/>
        <v>22628925</v>
      </c>
      <c r="I610" s="8">
        <f t="shared" ca="1" si="86"/>
        <v>19234586.25</v>
      </c>
      <c r="J610" s="8">
        <f t="shared" ca="1" si="87"/>
        <v>3394338.75</v>
      </c>
      <c r="K610" s="6">
        <f t="shared" ca="1" si="88"/>
        <v>0.15</v>
      </c>
      <c r="L610" s="4" t="str" cm="1">
        <f t="array" aca="1" ref="L61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10" s="8">
        <f t="shared" ca="1" si="89"/>
        <v>21562</v>
      </c>
      <c r="N610" s="4" t="str" cm="1">
        <f t="array" aca="1" ref="N610" ca="1">INDEX({"New";"Repeat"}, RANDBETWEEN(1,2))</f>
        <v>New</v>
      </c>
      <c r="O610" s="4" t="str" cm="1">
        <f t="array" aca="1" ref="O610" ca="1">INDEX({"Loan";"Cash";"Lease"}, RANDBETWEEN(1,3))</f>
        <v>Lease</v>
      </c>
    </row>
    <row r="611" spans="1:15" x14ac:dyDescent="0.2">
      <c r="A611" s="4">
        <v>609</v>
      </c>
      <c r="B611" s="5">
        <f t="shared" ca="1" si="81"/>
        <v>45417</v>
      </c>
      <c r="C611" s="4" t="str" cm="1">
        <f t="array" aca="1" ref="C611" ca="1">INDEX({"Cochin";"Delhi";"Mumbai";"Pune";"Bengaluru"}, RANDBETWEEN(1,5))</f>
        <v>Pune</v>
      </c>
      <c r="D611" s="4" t="str" cm="1">
        <f t="array" aca="1" ref="D611" ca="1">INDEX({"C-Class";"E-Class";"S-Class";"GLA";"GLC";"GLE";"GLS";"EQB"}, RANDBETWEEN(1,8))</f>
        <v>C-Class</v>
      </c>
      <c r="E611" s="4" t="str">
        <f t="shared" ca="1" si="82"/>
        <v>Sedan</v>
      </c>
      <c r="F611" s="4">
        <f t="shared" ca="1" si="83"/>
        <v>5</v>
      </c>
      <c r="G611" s="8">
        <f t="shared" ca="1" si="84"/>
        <v>5913375</v>
      </c>
      <c r="H611" s="8">
        <f t="shared" ca="1" si="85"/>
        <v>29566875</v>
      </c>
      <c r="I611" s="8">
        <f t="shared" ca="1" si="86"/>
        <v>22470825</v>
      </c>
      <c r="J611" s="8">
        <f t="shared" ca="1" si="87"/>
        <v>7096050</v>
      </c>
      <c r="K611" s="6">
        <f t="shared" ca="1" si="88"/>
        <v>0.24</v>
      </c>
      <c r="L611" s="4" t="str" cm="1">
        <f t="array" aca="1" ref="L61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11" s="8">
        <f t="shared" ca="1" si="89"/>
        <v>6860</v>
      </c>
      <c r="N611" s="4" t="str" cm="1">
        <f t="array" aca="1" ref="N611" ca="1">INDEX({"New";"Repeat"}, RANDBETWEEN(1,2))</f>
        <v>Repeat</v>
      </c>
      <c r="O611" s="4" t="str" cm="1">
        <f t="array" aca="1" ref="O611" ca="1">INDEX({"Loan";"Cash";"Lease"}, RANDBETWEEN(1,3))</f>
        <v>Loan</v>
      </c>
    </row>
    <row r="612" spans="1:15" x14ac:dyDescent="0.2">
      <c r="A612" s="4">
        <v>610</v>
      </c>
      <c r="B612" s="5">
        <f t="shared" ca="1" si="81"/>
        <v>44996</v>
      </c>
      <c r="C612" s="4" t="str" cm="1">
        <f t="array" aca="1" ref="C612" ca="1">INDEX({"Cochin";"Delhi";"Mumbai";"Pune";"Bengaluru"}, RANDBETWEEN(1,5))</f>
        <v>Mumbai</v>
      </c>
      <c r="D612" s="4" t="str" cm="1">
        <f t="array" aca="1" ref="D612" ca="1">INDEX({"C-Class";"E-Class";"S-Class";"GLA";"GLC";"GLE";"GLS";"EQB"}, RANDBETWEEN(1,8))</f>
        <v>GLA</v>
      </c>
      <c r="E612" s="4" t="str">
        <f t="shared" ca="1" si="82"/>
        <v>SUV</v>
      </c>
      <c r="F612" s="4">
        <f t="shared" ca="1" si="83"/>
        <v>1</v>
      </c>
      <c r="G612" s="8">
        <f t="shared" ca="1" si="84"/>
        <v>5136524</v>
      </c>
      <c r="H612" s="8">
        <f t="shared" ca="1" si="85"/>
        <v>5136524</v>
      </c>
      <c r="I612" s="8">
        <f t="shared" ca="1" si="86"/>
        <v>4006488.72</v>
      </c>
      <c r="J612" s="8">
        <f t="shared" ca="1" si="87"/>
        <v>1130035.2799999998</v>
      </c>
      <c r="K612" s="6">
        <f t="shared" ca="1" si="88"/>
        <v>0.21999999999999997</v>
      </c>
      <c r="L612" s="4" t="str" cm="1">
        <f t="array" aca="1" ref="L61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12" s="8">
        <f t="shared" ca="1" si="89"/>
        <v>5263</v>
      </c>
      <c r="N612" s="4" t="str" cm="1">
        <f t="array" aca="1" ref="N612" ca="1">INDEX({"New";"Repeat"}, RANDBETWEEN(1,2))</f>
        <v>Repeat</v>
      </c>
      <c r="O612" s="4" t="str" cm="1">
        <f t="array" aca="1" ref="O612" ca="1">INDEX({"Loan";"Cash";"Lease"}, RANDBETWEEN(1,3))</f>
        <v>Lease</v>
      </c>
    </row>
    <row r="613" spans="1:15" x14ac:dyDescent="0.2">
      <c r="A613" s="4">
        <v>611</v>
      </c>
      <c r="B613" s="5">
        <f t="shared" ca="1" si="81"/>
        <v>45869</v>
      </c>
      <c r="C613" s="4" t="str" cm="1">
        <f t="array" aca="1" ref="C613" ca="1">INDEX({"Cochin";"Delhi";"Mumbai";"Pune";"Bengaluru"}, RANDBETWEEN(1,5))</f>
        <v>Cochin</v>
      </c>
      <c r="D613" s="4" t="str" cm="1">
        <f t="array" aca="1" ref="D613" ca="1">INDEX({"C-Class";"E-Class";"S-Class";"GLA";"GLC";"GLE";"GLS";"EQB"}, RANDBETWEEN(1,8))</f>
        <v>E-Class</v>
      </c>
      <c r="E613" s="4" t="str">
        <f t="shared" ca="1" si="82"/>
        <v>Sedan</v>
      </c>
      <c r="F613" s="4">
        <f t="shared" ca="1" si="83"/>
        <v>5</v>
      </c>
      <c r="G613" s="8">
        <f t="shared" ca="1" si="84"/>
        <v>9414023</v>
      </c>
      <c r="H613" s="8">
        <f t="shared" ca="1" si="85"/>
        <v>47070115</v>
      </c>
      <c r="I613" s="8">
        <f t="shared" ca="1" si="86"/>
        <v>34831885.100000001</v>
      </c>
      <c r="J613" s="8">
        <f t="shared" ca="1" si="87"/>
        <v>12238229.899999999</v>
      </c>
      <c r="K613" s="6">
        <f t="shared" ca="1" si="88"/>
        <v>0.25999999999999995</v>
      </c>
      <c r="L613" s="4" t="str" cm="1">
        <f t="array" aca="1" ref="L61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13" s="8">
        <f t="shared" ca="1" si="89"/>
        <v>3458</v>
      </c>
      <c r="N613" s="4" t="str" cm="1">
        <f t="array" aca="1" ref="N613" ca="1">INDEX({"New";"Repeat"}, RANDBETWEEN(1,2))</f>
        <v>Repeat</v>
      </c>
      <c r="O613" s="4" t="str" cm="1">
        <f t="array" aca="1" ref="O613" ca="1">INDEX({"Loan";"Cash";"Lease"}, RANDBETWEEN(1,3))</f>
        <v>Loan</v>
      </c>
    </row>
    <row r="614" spans="1:15" x14ac:dyDescent="0.2">
      <c r="A614" s="4">
        <v>612</v>
      </c>
      <c r="B614" s="5">
        <f t="shared" ca="1" si="81"/>
        <v>45692</v>
      </c>
      <c r="C614" s="4" t="str" cm="1">
        <f t="array" aca="1" ref="C614" ca="1">INDEX({"Cochin";"Delhi";"Mumbai";"Pune";"Bengaluru"}, RANDBETWEEN(1,5))</f>
        <v>Pune</v>
      </c>
      <c r="D614" s="4" t="str" cm="1">
        <f t="array" aca="1" ref="D614" ca="1">INDEX({"C-Class";"E-Class";"S-Class";"GLA";"GLC";"GLE";"GLS";"EQB"}, RANDBETWEEN(1,8))</f>
        <v>GLS</v>
      </c>
      <c r="E614" s="4" t="str">
        <f t="shared" ca="1" si="82"/>
        <v>SUV</v>
      </c>
      <c r="F614" s="4">
        <f t="shared" ca="1" si="83"/>
        <v>5</v>
      </c>
      <c r="G614" s="8">
        <f t="shared" ca="1" si="84"/>
        <v>16017699</v>
      </c>
      <c r="H614" s="8">
        <f t="shared" ca="1" si="85"/>
        <v>80088495</v>
      </c>
      <c r="I614" s="8">
        <f t="shared" ca="1" si="86"/>
        <v>56061946.5</v>
      </c>
      <c r="J614" s="8">
        <f t="shared" ca="1" si="87"/>
        <v>24026548.5</v>
      </c>
      <c r="K614" s="6">
        <f t="shared" ca="1" si="88"/>
        <v>0.3</v>
      </c>
      <c r="L614" s="4" t="str" cm="1">
        <f t="array" aca="1" ref="L61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14" s="8">
        <f t="shared" ca="1" si="89"/>
        <v>18760</v>
      </c>
      <c r="N614" s="4" t="str" cm="1">
        <f t="array" aca="1" ref="N614" ca="1">INDEX({"New";"Repeat"}, RANDBETWEEN(1,2))</f>
        <v>New</v>
      </c>
      <c r="O614" s="4" t="str" cm="1">
        <f t="array" aca="1" ref="O614" ca="1">INDEX({"Loan";"Cash";"Lease"}, RANDBETWEEN(1,3))</f>
        <v>Loan</v>
      </c>
    </row>
    <row r="615" spans="1:15" x14ac:dyDescent="0.2">
      <c r="A615" s="4">
        <v>613</v>
      </c>
      <c r="B615" s="5">
        <f t="shared" ca="1" si="81"/>
        <v>45226</v>
      </c>
      <c r="C615" s="4" t="str" cm="1">
        <f t="array" aca="1" ref="C615" ca="1">INDEX({"Cochin";"Delhi";"Mumbai";"Pune";"Bengaluru"}, RANDBETWEEN(1,5))</f>
        <v>Pune</v>
      </c>
      <c r="D615" s="4" t="str" cm="1">
        <f t="array" aca="1" ref="D615" ca="1">INDEX({"C-Class";"E-Class";"S-Class";"GLA";"GLC";"GLE";"GLS";"EQB"}, RANDBETWEEN(1,8))</f>
        <v>S-Class</v>
      </c>
      <c r="E615" s="4" t="str">
        <f t="shared" ca="1" si="82"/>
        <v>Sedan</v>
      </c>
      <c r="F615" s="4">
        <f t="shared" ca="1" si="83"/>
        <v>2</v>
      </c>
      <c r="G615" s="8">
        <f t="shared" ca="1" si="84"/>
        <v>16945649</v>
      </c>
      <c r="H615" s="8">
        <f t="shared" ca="1" si="85"/>
        <v>33891298</v>
      </c>
      <c r="I615" s="8">
        <f t="shared" ca="1" si="86"/>
        <v>28129777.34</v>
      </c>
      <c r="J615" s="8">
        <f t="shared" ca="1" si="87"/>
        <v>5761520.6600000001</v>
      </c>
      <c r="K615" s="6">
        <f t="shared" ca="1" si="88"/>
        <v>0.17</v>
      </c>
      <c r="L615" s="4" t="str" cm="1">
        <f t="array" aca="1" ref="L615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615" s="8">
        <f t="shared" ca="1" si="89"/>
        <v>12810</v>
      </c>
      <c r="N615" s="4" t="str" cm="1">
        <f t="array" aca="1" ref="N615" ca="1">INDEX({"New";"Repeat"}, RANDBETWEEN(1,2))</f>
        <v>New</v>
      </c>
      <c r="O615" s="4" t="str" cm="1">
        <f t="array" aca="1" ref="O615" ca="1">INDEX({"Loan";"Cash";"Lease"}, RANDBETWEEN(1,3))</f>
        <v>Lease</v>
      </c>
    </row>
    <row r="616" spans="1:15" x14ac:dyDescent="0.2">
      <c r="A616" s="4">
        <v>614</v>
      </c>
      <c r="B616" s="5">
        <f t="shared" ca="1" si="81"/>
        <v>45332</v>
      </c>
      <c r="C616" s="4" t="str" cm="1">
        <f t="array" aca="1" ref="C616" ca="1">INDEX({"Cochin";"Delhi";"Mumbai";"Pune";"Bengaluru"}, RANDBETWEEN(1,5))</f>
        <v>Mumbai</v>
      </c>
      <c r="D616" s="4" t="str" cm="1">
        <f t="array" aca="1" ref="D616" ca="1">INDEX({"C-Class";"E-Class";"S-Class";"GLA";"GLC";"GLE";"GLS";"EQB"}, RANDBETWEEN(1,8))</f>
        <v>S-Class</v>
      </c>
      <c r="E616" s="4" t="str">
        <f t="shared" ca="1" si="82"/>
        <v>Sedan</v>
      </c>
      <c r="F616" s="4">
        <f t="shared" ca="1" si="83"/>
        <v>4</v>
      </c>
      <c r="G616" s="8">
        <f t="shared" ca="1" si="84"/>
        <v>22599495</v>
      </c>
      <c r="H616" s="8">
        <f t="shared" ca="1" si="85"/>
        <v>90397980</v>
      </c>
      <c r="I616" s="8">
        <f t="shared" ca="1" si="86"/>
        <v>71414404.200000003</v>
      </c>
      <c r="J616" s="8">
        <f t="shared" ca="1" si="87"/>
        <v>18983575.799999997</v>
      </c>
      <c r="K616" s="6">
        <f t="shared" ca="1" si="88"/>
        <v>0.20999999999999996</v>
      </c>
      <c r="L616" s="4" t="str" cm="1">
        <f t="array" aca="1" ref="L61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16" s="8">
        <f t="shared" ca="1" si="89"/>
        <v>12674</v>
      </c>
      <c r="N616" s="4" t="str" cm="1">
        <f t="array" aca="1" ref="N616" ca="1">INDEX({"New";"Repeat"}, RANDBETWEEN(1,2))</f>
        <v>New</v>
      </c>
      <c r="O616" s="4" t="str" cm="1">
        <f t="array" aca="1" ref="O616" ca="1">INDEX({"Loan";"Cash";"Lease"}, RANDBETWEEN(1,3))</f>
        <v>Lease</v>
      </c>
    </row>
    <row r="617" spans="1:15" x14ac:dyDescent="0.2">
      <c r="A617" s="4">
        <v>615</v>
      </c>
      <c r="B617" s="5">
        <f t="shared" ca="1" si="81"/>
        <v>45087</v>
      </c>
      <c r="C617" s="4" t="str" cm="1">
        <f t="array" aca="1" ref="C617" ca="1">INDEX({"Cochin";"Delhi";"Mumbai";"Pune";"Bengaluru"}, RANDBETWEEN(1,5))</f>
        <v>Cochin</v>
      </c>
      <c r="D617" s="4" t="str" cm="1">
        <f t="array" aca="1" ref="D617" ca="1">INDEX({"C-Class";"E-Class";"S-Class";"GLA";"GLC";"GLE";"GLS";"EQB"}, RANDBETWEEN(1,8))</f>
        <v>GLE</v>
      </c>
      <c r="E617" s="4" t="str">
        <f t="shared" ca="1" si="82"/>
        <v>SUV</v>
      </c>
      <c r="F617" s="4">
        <f t="shared" ca="1" si="83"/>
        <v>3</v>
      </c>
      <c r="G617" s="8">
        <f t="shared" ca="1" si="84"/>
        <v>11423979</v>
      </c>
      <c r="H617" s="8">
        <f t="shared" ca="1" si="85"/>
        <v>34271937</v>
      </c>
      <c r="I617" s="8">
        <f t="shared" ca="1" si="86"/>
        <v>26046672.120000001</v>
      </c>
      <c r="J617" s="8">
        <f t="shared" ca="1" si="87"/>
        <v>8225264.879999999</v>
      </c>
      <c r="K617" s="6">
        <f t="shared" ca="1" si="88"/>
        <v>0.23999999999999996</v>
      </c>
      <c r="L617" s="4" t="str" cm="1">
        <f t="array" aca="1" ref="L61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17" s="8">
        <f t="shared" ca="1" si="89"/>
        <v>5550</v>
      </c>
      <c r="N617" s="4" t="str" cm="1">
        <f t="array" aca="1" ref="N617" ca="1">INDEX({"New";"Repeat"}, RANDBETWEEN(1,2))</f>
        <v>Repeat</v>
      </c>
      <c r="O617" s="4" t="str" cm="1">
        <f t="array" aca="1" ref="O617" ca="1">INDEX({"Loan";"Cash";"Lease"}, RANDBETWEEN(1,3))</f>
        <v>Loan</v>
      </c>
    </row>
    <row r="618" spans="1:15" x14ac:dyDescent="0.2">
      <c r="A618" s="4">
        <v>616</v>
      </c>
      <c r="B618" s="5">
        <f t="shared" ca="1" si="81"/>
        <v>45439</v>
      </c>
      <c r="C618" s="4" t="str" cm="1">
        <f t="array" aca="1" ref="C618" ca="1">INDEX({"Cochin";"Delhi";"Mumbai";"Pune";"Bengaluru"}, RANDBETWEEN(1,5))</f>
        <v>Cochin</v>
      </c>
      <c r="D618" s="4" t="str" cm="1">
        <f t="array" aca="1" ref="D618" ca="1">INDEX({"C-Class";"E-Class";"S-Class";"GLA";"GLC";"GLE";"GLS";"EQB"}, RANDBETWEEN(1,8))</f>
        <v>C-Class</v>
      </c>
      <c r="E618" s="4" t="str">
        <f t="shared" ca="1" si="82"/>
        <v>Sedan</v>
      </c>
      <c r="F618" s="4">
        <f t="shared" ca="1" si="83"/>
        <v>3</v>
      </c>
      <c r="G618" s="8">
        <f t="shared" ca="1" si="84"/>
        <v>6467906</v>
      </c>
      <c r="H618" s="8">
        <f t="shared" ca="1" si="85"/>
        <v>19403718</v>
      </c>
      <c r="I618" s="8">
        <f t="shared" ca="1" si="86"/>
        <v>16493160.300000001</v>
      </c>
      <c r="J618" s="8">
        <f t="shared" ca="1" si="87"/>
        <v>2910557.6999999993</v>
      </c>
      <c r="K618" s="6">
        <f t="shared" ca="1" si="88"/>
        <v>0.14999999999999997</v>
      </c>
      <c r="L618" s="4" t="str" cm="1">
        <f t="array" aca="1" ref="L618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18" s="8">
        <f t="shared" ca="1" si="89"/>
        <v>18644</v>
      </c>
      <c r="N618" s="4" t="str" cm="1">
        <f t="array" aca="1" ref="N618" ca="1">INDEX({"New";"Repeat"}, RANDBETWEEN(1,2))</f>
        <v>New</v>
      </c>
      <c r="O618" s="4" t="str" cm="1">
        <f t="array" aca="1" ref="O618" ca="1">INDEX({"Loan";"Cash";"Lease"}, RANDBETWEEN(1,3))</f>
        <v>Loan</v>
      </c>
    </row>
    <row r="619" spans="1:15" x14ac:dyDescent="0.2">
      <c r="A619" s="4">
        <v>617</v>
      </c>
      <c r="B619" s="5">
        <f t="shared" ca="1" si="81"/>
        <v>45188</v>
      </c>
      <c r="C619" s="4" t="str" cm="1">
        <f t="array" aca="1" ref="C619" ca="1">INDEX({"Cochin";"Delhi";"Mumbai";"Pune";"Bengaluru"}, RANDBETWEEN(1,5))</f>
        <v>Cochin</v>
      </c>
      <c r="D619" s="4" t="str" cm="1">
        <f t="array" aca="1" ref="D619" ca="1">INDEX({"C-Class";"E-Class";"S-Class";"GLA";"GLC";"GLE";"GLS";"EQB"}, RANDBETWEEN(1,8))</f>
        <v>S-Class</v>
      </c>
      <c r="E619" s="4" t="str">
        <f t="shared" ca="1" si="82"/>
        <v>Sedan</v>
      </c>
      <c r="F619" s="4">
        <f t="shared" ca="1" si="83"/>
        <v>3</v>
      </c>
      <c r="G619" s="8">
        <f t="shared" ca="1" si="84"/>
        <v>18758011</v>
      </c>
      <c r="H619" s="8">
        <f t="shared" ca="1" si="85"/>
        <v>56274033</v>
      </c>
      <c r="I619" s="8">
        <f t="shared" ca="1" si="86"/>
        <v>42205524.75</v>
      </c>
      <c r="J619" s="8">
        <f t="shared" ca="1" si="87"/>
        <v>14068508.25</v>
      </c>
      <c r="K619" s="6">
        <f t="shared" ca="1" si="88"/>
        <v>0.25</v>
      </c>
      <c r="L619" s="4" t="str" cm="1">
        <f t="array" aca="1" ref="L61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619" s="8">
        <f t="shared" ca="1" si="89"/>
        <v>3112</v>
      </c>
      <c r="N619" s="4" t="str" cm="1">
        <f t="array" aca="1" ref="N619" ca="1">INDEX({"New";"Repeat"}, RANDBETWEEN(1,2))</f>
        <v>Repeat</v>
      </c>
      <c r="O619" s="4" t="str" cm="1">
        <f t="array" aca="1" ref="O619" ca="1">INDEX({"Loan";"Cash";"Lease"}, RANDBETWEEN(1,3))</f>
        <v>Loan</v>
      </c>
    </row>
    <row r="620" spans="1:15" x14ac:dyDescent="0.2">
      <c r="A620" s="4">
        <v>618</v>
      </c>
      <c r="B620" s="5">
        <f t="shared" ca="1" si="81"/>
        <v>45707</v>
      </c>
      <c r="C620" s="4" t="str" cm="1">
        <f t="array" aca="1" ref="C620" ca="1">INDEX({"Cochin";"Delhi";"Mumbai";"Pune";"Bengaluru"}, RANDBETWEEN(1,5))</f>
        <v>Mumbai</v>
      </c>
      <c r="D620" s="4" t="str" cm="1">
        <f t="array" aca="1" ref="D620" ca="1">INDEX({"C-Class";"E-Class";"S-Class";"GLA";"GLC";"GLE";"GLS";"EQB"}, RANDBETWEEN(1,8))</f>
        <v>C-Class</v>
      </c>
      <c r="E620" s="4" t="str">
        <f t="shared" ca="1" si="82"/>
        <v>Sedan</v>
      </c>
      <c r="F620" s="4">
        <f t="shared" ca="1" si="83"/>
        <v>5</v>
      </c>
      <c r="G620" s="8">
        <f t="shared" ca="1" si="84"/>
        <v>6239583</v>
      </c>
      <c r="H620" s="8">
        <f t="shared" ca="1" si="85"/>
        <v>31197915</v>
      </c>
      <c r="I620" s="8">
        <f t="shared" ca="1" si="86"/>
        <v>21838540.5</v>
      </c>
      <c r="J620" s="8">
        <f t="shared" ca="1" si="87"/>
        <v>9359374.5</v>
      </c>
      <c r="K620" s="6">
        <f t="shared" ca="1" si="88"/>
        <v>0.3</v>
      </c>
      <c r="L620" s="4" t="str" cm="1">
        <f t="array" aca="1" ref="L62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20" s="8">
        <f t="shared" ca="1" si="89"/>
        <v>23425</v>
      </c>
      <c r="N620" s="4" t="str" cm="1">
        <f t="array" aca="1" ref="N620" ca="1">INDEX({"New";"Repeat"}, RANDBETWEEN(1,2))</f>
        <v>New</v>
      </c>
      <c r="O620" s="4" t="str" cm="1">
        <f t="array" aca="1" ref="O620" ca="1">INDEX({"Loan";"Cash";"Lease"}, RANDBETWEEN(1,3))</f>
        <v>Loan</v>
      </c>
    </row>
    <row r="621" spans="1:15" x14ac:dyDescent="0.2">
      <c r="A621" s="4">
        <v>619</v>
      </c>
      <c r="B621" s="5">
        <f t="shared" ca="1" si="81"/>
        <v>45259</v>
      </c>
      <c r="C621" s="4" t="str" cm="1">
        <f t="array" aca="1" ref="C621" ca="1">INDEX({"Cochin";"Delhi";"Mumbai";"Pune";"Bengaluru"}, RANDBETWEEN(1,5))</f>
        <v>Pune</v>
      </c>
      <c r="D621" s="4" t="str" cm="1">
        <f t="array" aca="1" ref="D621" ca="1">INDEX({"C-Class";"E-Class";"S-Class";"GLA";"GLC";"GLE";"GLS";"EQB"}, RANDBETWEEN(1,8))</f>
        <v>EQB</v>
      </c>
      <c r="E621" s="4" t="str">
        <f t="shared" ca="1" si="82"/>
        <v>EV</v>
      </c>
      <c r="F621" s="4">
        <f t="shared" ca="1" si="83"/>
        <v>5</v>
      </c>
      <c r="G621" s="8">
        <f t="shared" ca="1" si="84"/>
        <v>7099029</v>
      </c>
      <c r="H621" s="8">
        <f t="shared" ca="1" si="85"/>
        <v>35495145</v>
      </c>
      <c r="I621" s="8">
        <f t="shared" ca="1" si="86"/>
        <v>25201552.949999999</v>
      </c>
      <c r="J621" s="8">
        <f t="shared" ca="1" si="87"/>
        <v>10293592.050000001</v>
      </c>
      <c r="K621" s="6">
        <f t="shared" ca="1" si="88"/>
        <v>0.29000000000000004</v>
      </c>
      <c r="L621" s="4" t="str" cm="1">
        <f t="array" aca="1" ref="L621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621" s="8">
        <f t="shared" ca="1" si="89"/>
        <v>15398</v>
      </c>
      <c r="N621" s="4" t="str" cm="1">
        <f t="array" aca="1" ref="N621" ca="1">INDEX({"New";"Repeat"}, RANDBETWEEN(1,2))</f>
        <v>New</v>
      </c>
      <c r="O621" s="4" t="str" cm="1">
        <f t="array" aca="1" ref="O621" ca="1">INDEX({"Loan";"Cash";"Lease"}, RANDBETWEEN(1,3))</f>
        <v>Lease</v>
      </c>
    </row>
    <row r="622" spans="1:15" x14ac:dyDescent="0.2">
      <c r="A622" s="4">
        <v>620</v>
      </c>
      <c r="B622" s="5">
        <f t="shared" ca="1" si="81"/>
        <v>45552</v>
      </c>
      <c r="C622" s="4" t="str" cm="1">
        <f t="array" aca="1" ref="C622" ca="1">INDEX({"Cochin";"Delhi";"Mumbai";"Pune";"Bengaluru"}, RANDBETWEEN(1,5))</f>
        <v>Mumbai</v>
      </c>
      <c r="D622" s="4" t="str" cm="1">
        <f t="array" aca="1" ref="D622" ca="1">INDEX({"C-Class";"E-Class";"S-Class";"GLA";"GLC";"GLE";"GLS";"EQB"}, RANDBETWEEN(1,8))</f>
        <v>GLA</v>
      </c>
      <c r="E622" s="4" t="str">
        <f t="shared" ca="1" si="82"/>
        <v>SUV</v>
      </c>
      <c r="F622" s="4">
        <f t="shared" ca="1" si="83"/>
        <v>1</v>
      </c>
      <c r="G622" s="8">
        <f t="shared" ca="1" si="84"/>
        <v>4528028</v>
      </c>
      <c r="H622" s="8">
        <f t="shared" ca="1" si="85"/>
        <v>4528028</v>
      </c>
      <c r="I622" s="8">
        <f t="shared" ca="1" si="86"/>
        <v>3758263.24</v>
      </c>
      <c r="J622" s="8">
        <f t="shared" ca="1" si="87"/>
        <v>769764.75999999978</v>
      </c>
      <c r="K622" s="6">
        <f t="shared" ca="1" si="88"/>
        <v>0.16999999999999996</v>
      </c>
      <c r="L622" s="4" t="str" cm="1">
        <f t="array" aca="1" ref="L62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22" s="8">
        <f t="shared" ca="1" si="89"/>
        <v>24564</v>
      </c>
      <c r="N622" s="4" t="str" cm="1">
        <f t="array" aca="1" ref="N622" ca="1">INDEX({"New";"Repeat"}, RANDBETWEEN(1,2))</f>
        <v>New</v>
      </c>
      <c r="O622" s="4" t="str" cm="1">
        <f t="array" aca="1" ref="O622" ca="1">INDEX({"Loan";"Cash";"Lease"}, RANDBETWEEN(1,3))</f>
        <v>Lease</v>
      </c>
    </row>
    <row r="623" spans="1:15" x14ac:dyDescent="0.2">
      <c r="A623" s="4">
        <v>621</v>
      </c>
      <c r="B623" s="5">
        <f t="shared" ca="1" si="81"/>
        <v>45551</v>
      </c>
      <c r="C623" s="4" t="str" cm="1">
        <f t="array" aca="1" ref="C623" ca="1">INDEX({"Cochin";"Delhi";"Mumbai";"Pune";"Bengaluru"}, RANDBETWEEN(1,5))</f>
        <v>Bengaluru</v>
      </c>
      <c r="D623" s="4" t="str" cm="1">
        <f t="array" aca="1" ref="D623" ca="1">INDEX({"C-Class";"E-Class";"S-Class";"GLA";"GLC";"GLE";"GLS";"EQB"}, RANDBETWEEN(1,8))</f>
        <v>GLC</v>
      </c>
      <c r="E623" s="4" t="str">
        <f t="shared" ca="1" si="82"/>
        <v>SUV</v>
      </c>
      <c r="F623" s="4">
        <f t="shared" ca="1" si="83"/>
        <v>3</v>
      </c>
      <c r="G623" s="8">
        <f t="shared" ca="1" si="84"/>
        <v>7466751</v>
      </c>
      <c r="H623" s="8">
        <f t="shared" ca="1" si="85"/>
        <v>22400253</v>
      </c>
      <c r="I623" s="8">
        <f t="shared" ca="1" si="86"/>
        <v>16576187.220000001</v>
      </c>
      <c r="J623" s="8">
        <f t="shared" ca="1" si="87"/>
        <v>5824065.7799999993</v>
      </c>
      <c r="K623" s="6">
        <f t="shared" ca="1" si="88"/>
        <v>0.25999999999999995</v>
      </c>
      <c r="L623" s="4" t="str" cm="1">
        <f t="array" aca="1" ref="L62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23" s="8">
        <f t="shared" ca="1" si="89"/>
        <v>23486</v>
      </c>
      <c r="N623" s="4" t="str" cm="1">
        <f t="array" aca="1" ref="N623" ca="1">INDEX({"New";"Repeat"}, RANDBETWEEN(1,2))</f>
        <v>New</v>
      </c>
      <c r="O623" s="4" t="str" cm="1">
        <f t="array" aca="1" ref="O623" ca="1">INDEX({"Loan";"Cash";"Lease"}, RANDBETWEEN(1,3))</f>
        <v>Lease</v>
      </c>
    </row>
    <row r="624" spans="1:15" x14ac:dyDescent="0.2">
      <c r="A624" s="4">
        <v>622</v>
      </c>
      <c r="B624" s="5">
        <f t="shared" ca="1" si="81"/>
        <v>45375</v>
      </c>
      <c r="C624" s="4" t="str" cm="1">
        <f t="array" aca="1" ref="C624" ca="1">INDEX({"Cochin";"Delhi";"Mumbai";"Pune";"Bengaluru"}, RANDBETWEEN(1,5))</f>
        <v>Delhi</v>
      </c>
      <c r="D624" s="4" t="str" cm="1">
        <f t="array" aca="1" ref="D624" ca="1">INDEX({"C-Class";"E-Class";"S-Class";"GLA";"GLC";"GLE";"GLS";"EQB"}, RANDBETWEEN(1,8))</f>
        <v>GLC</v>
      </c>
      <c r="E624" s="4" t="str">
        <f t="shared" ca="1" si="82"/>
        <v>SUV</v>
      </c>
      <c r="F624" s="4">
        <f t="shared" ca="1" si="83"/>
        <v>5</v>
      </c>
      <c r="G624" s="8">
        <f t="shared" ca="1" si="84"/>
        <v>7316758</v>
      </c>
      <c r="H624" s="8">
        <f t="shared" ca="1" si="85"/>
        <v>36583790</v>
      </c>
      <c r="I624" s="8">
        <f t="shared" ca="1" si="86"/>
        <v>29998707.800000001</v>
      </c>
      <c r="J624" s="8">
        <f t="shared" ca="1" si="87"/>
        <v>6585082.1999999993</v>
      </c>
      <c r="K624" s="6">
        <f t="shared" ca="1" si="88"/>
        <v>0.18</v>
      </c>
      <c r="L624" s="4" t="str" cm="1">
        <f t="array" aca="1" ref="L62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24" s="8">
        <f t="shared" ca="1" si="89"/>
        <v>5375</v>
      </c>
      <c r="N624" s="4" t="str" cm="1">
        <f t="array" aca="1" ref="N624" ca="1">INDEX({"New";"Repeat"}, RANDBETWEEN(1,2))</f>
        <v>Repeat</v>
      </c>
      <c r="O624" s="4" t="str" cm="1">
        <f t="array" aca="1" ref="O624" ca="1">INDEX({"Loan";"Cash";"Lease"}, RANDBETWEEN(1,3))</f>
        <v>Cash</v>
      </c>
    </row>
    <row r="625" spans="1:15" x14ac:dyDescent="0.2">
      <c r="A625" s="4">
        <v>623</v>
      </c>
      <c r="B625" s="5">
        <f t="shared" ca="1" si="81"/>
        <v>45070</v>
      </c>
      <c r="C625" s="4" t="str" cm="1">
        <f t="array" aca="1" ref="C625" ca="1">INDEX({"Cochin";"Delhi";"Mumbai";"Pune";"Bengaluru"}, RANDBETWEEN(1,5))</f>
        <v>Mumbai</v>
      </c>
      <c r="D625" s="4" t="str" cm="1">
        <f t="array" aca="1" ref="D625" ca="1">INDEX({"C-Class";"E-Class";"S-Class";"GLA";"GLC";"GLE";"GLS";"EQB"}, RANDBETWEEN(1,8))</f>
        <v>GLA</v>
      </c>
      <c r="E625" s="4" t="str">
        <f t="shared" ca="1" si="82"/>
        <v>SUV</v>
      </c>
      <c r="F625" s="4">
        <f t="shared" ca="1" si="83"/>
        <v>2</v>
      </c>
      <c r="G625" s="8">
        <f t="shared" ca="1" si="84"/>
        <v>4933509</v>
      </c>
      <c r="H625" s="8">
        <f t="shared" ca="1" si="85"/>
        <v>9867018</v>
      </c>
      <c r="I625" s="8">
        <f t="shared" ca="1" si="86"/>
        <v>7696274.04</v>
      </c>
      <c r="J625" s="8">
        <f t="shared" ca="1" si="87"/>
        <v>2170743.96</v>
      </c>
      <c r="K625" s="6">
        <f t="shared" ca="1" si="88"/>
        <v>0.22</v>
      </c>
      <c r="L625" s="4" t="str" cm="1">
        <f t="array" aca="1" ref="L62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25" s="8">
        <f t="shared" ca="1" si="89"/>
        <v>4306</v>
      </c>
      <c r="N625" s="4" t="str" cm="1">
        <f t="array" aca="1" ref="N625" ca="1">INDEX({"New";"Repeat"}, RANDBETWEEN(1,2))</f>
        <v>Repeat</v>
      </c>
      <c r="O625" s="4" t="str" cm="1">
        <f t="array" aca="1" ref="O625" ca="1">INDEX({"Loan";"Cash";"Lease"}, RANDBETWEEN(1,3))</f>
        <v>Loan</v>
      </c>
    </row>
    <row r="626" spans="1:15" x14ac:dyDescent="0.2">
      <c r="A626" s="4">
        <v>624</v>
      </c>
      <c r="B626" s="5">
        <f t="shared" ca="1" si="81"/>
        <v>45742</v>
      </c>
      <c r="C626" s="4" t="str" cm="1">
        <f t="array" aca="1" ref="C626" ca="1">INDEX({"Cochin";"Delhi";"Mumbai";"Pune";"Bengaluru"}, RANDBETWEEN(1,5))</f>
        <v>Bengaluru</v>
      </c>
      <c r="D626" s="4" t="str" cm="1">
        <f t="array" aca="1" ref="D626" ca="1">INDEX({"C-Class";"E-Class";"S-Class";"GLA";"GLC";"GLE";"GLS";"EQB"}, RANDBETWEEN(1,8))</f>
        <v>E-Class</v>
      </c>
      <c r="E626" s="4" t="str">
        <f t="shared" ca="1" si="82"/>
        <v>Sedan</v>
      </c>
      <c r="F626" s="4">
        <f t="shared" ca="1" si="83"/>
        <v>3</v>
      </c>
      <c r="G626" s="8">
        <f t="shared" ca="1" si="84"/>
        <v>8262410</v>
      </c>
      <c r="H626" s="8">
        <f t="shared" ca="1" si="85"/>
        <v>24787230</v>
      </c>
      <c r="I626" s="8">
        <f t="shared" ca="1" si="86"/>
        <v>18342550.199999999</v>
      </c>
      <c r="J626" s="8">
        <f t="shared" ca="1" si="87"/>
        <v>6444679.8000000007</v>
      </c>
      <c r="K626" s="6">
        <f t="shared" ca="1" si="88"/>
        <v>0.26</v>
      </c>
      <c r="L626" s="4" t="str" cm="1">
        <f t="array" aca="1" ref="L62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626" s="8">
        <f t="shared" ca="1" si="89"/>
        <v>19895</v>
      </c>
      <c r="N626" s="4" t="str" cm="1">
        <f t="array" aca="1" ref="N626" ca="1">INDEX({"New";"Repeat"}, RANDBETWEEN(1,2))</f>
        <v>New</v>
      </c>
      <c r="O626" s="4" t="str" cm="1">
        <f t="array" aca="1" ref="O626" ca="1">INDEX({"Loan";"Cash";"Lease"}, RANDBETWEEN(1,3))</f>
        <v>Cash</v>
      </c>
    </row>
    <row r="627" spans="1:15" x14ac:dyDescent="0.2">
      <c r="A627" s="4">
        <v>625</v>
      </c>
      <c r="B627" s="5">
        <f t="shared" ca="1" si="81"/>
        <v>45035</v>
      </c>
      <c r="C627" s="4" t="str" cm="1">
        <f t="array" aca="1" ref="C627" ca="1">INDEX({"Cochin";"Delhi";"Mumbai";"Pune";"Bengaluru"}, RANDBETWEEN(1,5))</f>
        <v>Pune</v>
      </c>
      <c r="D627" s="4" t="str" cm="1">
        <f t="array" aca="1" ref="D627" ca="1">INDEX({"C-Class";"E-Class";"S-Class";"GLA";"GLC";"GLE";"GLS";"EQB"}, RANDBETWEEN(1,8))</f>
        <v>E-Class</v>
      </c>
      <c r="E627" s="4" t="str">
        <f t="shared" ca="1" si="82"/>
        <v>Sedan</v>
      </c>
      <c r="F627" s="4">
        <f t="shared" ca="1" si="83"/>
        <v>1</v>
      </c>
      <c r="G627" s="8">
        <f t="shared" ca="1" si="84"/>
        <v>9160789</v>
      </c>
      <c r="H627" s="8">
        <f t="shared" ca="1" si="85"/>
        <v>9160789</v>
      </c>
      <c r="I627" s="8">
        <f t="shared" ca="1" si="86"/>
        <v>7420239.0899999999</v>
      </c>
      <c r="J627" s="8">
        <f t="shared" ca="1" si="87"/>
        <v>1740549.9100000001</v>
      </c>
      <c r="K627" s="6">
        <f t="shared" ca="1" si="88"/>
        <v>0.19000000000000003</v>
      </c>
      <c r="L627" s="4" t="str" cm="1">
        <f t="array" aca="1" ref="L62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27" s="8">
        <f t="shared" ca="1" si="89"/>
        <v>13829</v>
      </c>
      <c r="N627" s="4" t="str" cm="1">
        <f t="array" aca="1" ref="N627" ca="1">INDEX({"New";"Repeat"}, RANDBETWEEN(1,2))</f>
        <v>New</v>
      </c>
      <c r="O627" s="4" t="str" cm="1">
        <f t="array" aca="1" ref="O627" ca="1">INDEX({"Loan";"Cash";"Lease"}, RANDBETWEEN(1,3))</f>
        <v>Cash</v>
      </c>
    </row>
    <row r="628" spans="1:15" x14ac:dyDescent="0.2">
      <c r="A628" s="4">
        <v>626</v>
      </c>
      <c r="B628" s="5">
        <f t="shared" ca="1" si="81"/>
        <v>45870</v>
      </c>
      <c r="C628" s="4" t="str" cm="1">
        <f t="array" aca="1" ref="C628" ca="1">INDEX({"Cochin";"Delhi";"Mumbai";"Pune";"Bengaluru"}, RANDBETWEEN(1,5))</f>
        <v>Pune</v>
      </c>
      <c r="D628" s="4" t="str" cm="1">
        <f t="array" aca="1" ref="D628" ca="1">INDEX({"C-Class";"E-Class";"S-Class";"GLA";"GLC";"GLE";"GLS";"EQB"}, RANDBETWEEN(1,8))</f>
        <v>C-Class</v>
      </c>
      <c r="E628" s="4" t="str">
        <f t="shared" ca="1" si="82"/>
        <v>Sedan</v>
      </c>
      <c r="F628" s="4">
        <f t="shared" ca="1" si="83"/>
        <v>1</v>
      </c>
      <c r="G628" s="8">
        <f t="shared" ca="1" si="84"/>
        <v>6374420</v>
      </c>
      <c r="H628" s="8">
        <f t="shared" ca="1" si="85"/>
        <v>6374420</v>
      </c>
      <c r="I628" s="8">
        <f t="shared" ca="1" si="86"/>
        <v>4717070.8</v>
      </c>
      <c r="J628" s="8">
        <f t="shared" ca="1" si="87"/>
        <v>1657349.2000000002</v>
      </c>
      <c r="K628" s="6">
        <f t="shared" ca="1" si="88"/>
        <v>0.26</v>
      </c>
      <c r="L628" s="4" t="str" cm="1">
        <f t="array" aca="1" ref="L628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28" s="8">
        <f t="shared" ca="1" si="89"/>
        <v>6291</v>
      </c>
      <c r="N628" s="4" t="str" cm="1">
        <f t="array" aca="1" ref="N628" ca="1">INDEX({"New";"Repeat"}, RANDBETWEEN(1,2))</f>
        <v>Repeat</v>
      </c>
      <c r="O628" s="4" t="str" cm="1">
        <f t="array" aca="1" ref="O628" ca="1">INDEX({"Loan";"Cash";"Lease"}, RANDBETWEEN(1,3))</f>
        <v>Loan</v>
      </c>
    </row>
    <row r="629" spans="1:15" x14ac:dyDescent="0.2">
      <c r="A629" s="4">
        <v>627</v>
      </c>
      <c r="B629" s="5">
        <f t="shared" ca="1" si="81"/>
        <v>45771</v>
      </c>
      <c r="C629" s="4" t="str" cm="1">
        <f t="array" aca="1" ref="C629" ca="1">INDEX({"Cochin";"Delhi";"Mumbai";"Pune";"Bengaluru"}, RANDBETWEEN(1,5))</f>
        <v>Bengaluru</v>
      </c>
      <c r="D629" s="4" t="str" cm="1">
        <f t="array" aca="1" ref="D629" ca="1">INDEX({"C-Class";"E-Class";"S-Class";"GLA";"GLC";"GLE";"GLS";"EQB"}, RANDBETWEEN(1,8))</f>
        <v>GLS</v>
      </c>
      <c r="E629" s="4" t="str">
        <f t="shared" ca="1" si="82"/>
        <v>SUV</v>
      </c>
      <c r="F629" s="4">
        <f t="shared" ca="1" si="83"/>
        <v>4</v>
      </c>
      <c r="G629" s="8">
        <f t="shared" ca="1" si="84"/>
        <v>15112570</v>
      </c>
      <c r="H629" s="8">
        <f t="shared" ca="1" si="85"/>
        <v>60450280</v>
      </c>
      <c r="I629" s="8">
        <f t="shared" ca="1" si="86"/>
        <v>47151218.399999999</v>
      </c>
      <c r="J629" s="8">
        <f t="shared" ca="1" si="87"/>
        <v>13299061.600000001</v>
      </c>
      <c r="K629" s="6">
        <f t="shared" ca="1" si="88"/>
        <v>0.22000000000000003</v>
      </c>
      <c r="L629" s="4" t="str" cm="1">
        <f t="array" aca="1" ref="L62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29" s="8">
        <f t="shared" ca="1" si="89"/>
        <v>13475</v>
      </c>
      <c r="N629" s="4" t="str" cm="1">
        <f t="array" aca="1" ref="N629" ca="1">INDEX({"New";"Repeat"}, RANDBETWEEN(1,2))</f>
        <v>New</v>
      </c>
      <c r="O629" s="4" t="str" cm="1">
        <f t="array" aca="1" ref="O629" ca="1">INDEX({"Loan";"Cash";"Lease"}, RANDBETWEEN(1,3))</f>
        <v>Cash</v>
      </c>
    </row>
    <row r="630" spans="1:15" x14ac:dyDescent="0.2">
      <c r="A630" s="4">
        <v>628</v>
      </c>
      <c r="B630" s="5">
        <f t="shared" ca="1" si="81"/>
        <v>45557</v>
      </c>
      <c r="C630" s="4" t="str" cm="1">
        <f t="array" aca="1" ref="C630" ca="1">INDEX({"Cochin";"Delhi";"Mumbai";"Pune";"Bengaluru"}, RANDBETWEEN(1,5))</f>
        <v>Mumbai</v>
      </c>
      <c r="D630" s="4" t="str" cm="1">
        <f t="array" aca="1" ref="D630" ca="1">INDEX({"C-Class";"E-Class";"S-Class";"GLA";"GLC";"GLE";"GLS";"EQB"}, RANDBETWEEN(1,8))</f>
        <v>C-Class</v>
      </c>
      <c r="E630" s="4" t="str">
        <f t="shared" ca="1" si="82"/>
        <v>Sedan</v>
      </c>
      <c r="F630" s="4">
        <f t="shared" ca="1" si="83"/>
        <v>5</v>
      </c>
      <c r="G630" s="8">
        <f t="shared" ca="1" si="84"/>
        <v>6594492</v>
      </c>
      <c r="H630" s="8">
        <f t="shared" ca="1" si="85"/>
        <v>32972460</v>
      </c>
      <c r="I630" s="8">
        <f t="shared" ca="1" si="86"/>
        <v>25388794.199999999</v>
      </c>
      <c r="J630" s="8">
        <f t="shared" ca="1" si="87"/>
        <v>7583665.8000000007</v>
      </c>
      <c r="K630" s="6">
        <f t="shared" ca="1" si="88"/>
        <v>0.23</v>
      </c>
      <c r="L630" s="4" t="str" cm="1">
        <f t="array" aca="1" ref="L63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30" s="8">
        <f t="shared" ca="1" si="89"/>
        <v>6051</v>
      </c>
      <c r="N630" s="4" t="str" cm="1">
        <f t="array" aca="1" ref="N630" ca="1">INDEX({"New";"Repeat"}, RANDBETWEEN(1,2))</f>
        <v>Repeat</v>
      </c>
      <c r="O630" s="4" t="str" cm="1">
        <f t="array" aca="1" ref="O630" ca="1">INDEX({"Loan";"Cash";"Lease"}, RANDBETWEEN(1,3))</f>
        <v>Cash</v>
      </c>
    </row>
    <row r="631" spans="1:15" x14ac:dyDescent="0.2">
      <c r="A631" s="4">
        <v>629</v>
      </c>
      <c r="B631" s="5">
        <f t="shared" ca="1" si="81"/>
        <v>45042</v>
      </c>
      <c r="C631" s="4" t="str" cm="1">
        <f t="array" aca="1" ref="C631" ca="1">INDEX({"Cochin";"Delhi";"Mumbai";"Pune";"Bengaluru"}, RANDBETWEEN(1,5))</f>
        <v>Delhi</v>
      </c>
      <c r="D631" s="4" t="str" cm="1">
        <f t="array" aca="1" ref="D631" ca="1">INDEX({"C-Class";"E-Class";"S-Class";"GLA";"GLC";"GLE";"GLS";"EQB"}, RANDBETWEEN(1,8))</f>
        <v>GLE</v>
      </c>
      <c r="E631" s="4" t="str">
        <f t="shared" ca="1" si="82"/>
        <v>SUV</v>
      </c>
      <c r="F631" s="4">
        <f t="shared" ca="1" si="83"/>
        <v>3</v>
      </c>
      <c r="G631" s="8">
        <f t="shared" ca="1" si="84"/>
        <v>11502634</v>
      </c>
      <c r="H631" s="8">
        <f t="shared" ca="1" si="85"/>
        <v>34507902</v>
      </c>
      <c r="I631" s="8">
        <f t="shared" ca="1" si="86"/>
        <v>24500610.420000002</v>
      </c>
      <c r="J631" s="8">
        <f t="shared" ca="1" si="87"/>
        <v>10007291.579999998</v>
      </c>
      <c r="K631" s="6">
        <f t="shared" ca="1" si="88"/>
        <v>0.28999999999999992</v>
      </c>
      <c r="L631" s="4" t="str" cm="1">
        <f t="array" aca="1" ref="L63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31" s="8">
        <f t="shared" ca="1" si="89"/>
        <v>5679</v>
      </c>
      <c r="N631" s="4" t="str" cm="1">
        <f t="array" aca="1" ref="N631" ca="1">INDEX({"New";"Repeat"}, RANDBETWEEN(1,2))</f>
        <v>Repeat</v>
      </c>
      <c r="O631" s="4" t="str" cm="1">
        <f t="array" aca="1" ref="O631" ca="1">INDEX({"Loan";"Cash";"Lease"}, RANDBETWEEN(1,3))</f>
        <v>Loan</v>
      </c>
    </row>
    <row r="632" spans="1:15" x14ac:dyDescent="0.2">
      <c r="A632" s="4">
        <v>630</v>
      </c>
      <c r="B632" s="5">
        <f t="shared" ca="1" si="81"/>
        <v>45129</v>
      </c>
      <c r="C632" s="4" t="str" cm="1">
        <f t="array" aca="1" ref="C632" ca="1">INDEX({"Cochin";"Delhi";"Mumbai";"Pune";"Bengaluru"}, RANDBETWEEN(1,5))</f>
        <v>Delhi</v>
      </c>
      <c r="D632" s="4" t="str" cm="1">
        <f t="array" aca="1" ref="D632" ca="1">INDEX({"C-Class";"E-Class";"S-Class";"GLA";"GLC";"GLE";"GLS";"EQB"}, RANDBETWEEN(1,8))</f>
        <v>GLC</v>
      </c>
      <c r="E632" s="4" t="str">
        <f t="shared" ca="1" si="82"/>
        <v>SUV</v>
      </c>
      <c r="F632" s="4">
        <f t="shared" ca="1" si="83"/>
        <v>1</v>
      </c>
      <c r="G632" s="8">
        <f t="shared" ca="1" si="84"/>
        <v>7341142</v>
      </c>
      <c r="H632" s="8">
        <f t="shared" ca="1" si="85"/>
        <v>7341142</v>
      </c>
      <c r="I632" s="8">
        <f t="shared" ca="1" si="86"/>
        <v>5138799.4000000004</v>
      </c>
      <c r="J632" s="8">
        <f t="shared" ca="1" si="87"/>
        <v>2202342.5999999996</v>
      </c>
      <c r="K632" s="6">
        <f t="shared" ca="1" si="88"/>
        <v>0.29999999999999993</v>
      </c>
      <c r="L632" s="4" t="str" cm="1">
        <f t="array" aca="1" ref="L632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32" s="8">
        <f t="shared" ca="1" si="89"/>
        <v>7677</v>
      </c>
      <c r="N632" s="4" t="str" cm="1">
        <f t="array" aca="1" ref="N632" ca="1">INDEX({"New";"Repeat"}, RANDBETWEEN(1,2))</f>
        <v>Repeat</v>
      </c>
      <c r="O632" s="4" t="str" cm="1">
        <f t="array" aca="1" ref="O632" ca="1">INDEX({"Loan";"Cash";"Lease"}, RANDBETWEEN(1,3))</f>
        <v>Loan</v>
      </c>
    </row>
    <row r="633" spans="1:15" x14ac:dyDescent="0.2">
      <c r="A633" s="4">
        <v>631</v>
      </c>
      <c r="B633" s="5">
        <f t="shared" ca="1" si="81"/>
        <v>45384</v>
      </c>
      <c r="C633" s="4" t="str" cm="1">
        <f t="array" aca="1" ref="C633" ca="1">INDEX({"Cochin";"Delhi";"Mumbai";"Pune";"Bengaluru"}, RANDBETWEEN(1,5))</f>
        <v>Mumbai</v>
      </c>
      <c r="D633" s="4" t="str" cm="1">
        <f t="array" aca="1" ref="D633" ca="1">INDEX({"C-Class";"E-Class";"S-Class";"GLA";"GLC";"GLE";"GLS";"EQB"}, RANDBETWEEN(1,8))</f>
        <v>E-Class</v>
      </c>
      <c r="E633" s="4" t="str">
        <f t="shared" ca="1" si="82"/>
        <v>Sedan</v>
      </c>
      <c r="F633" s="4">
        <f t="shared" ca="1" si="83"/>
        <v>3</v>
      </c>
      <c r="G633" s="8">
        <f t="shared" ca="1" si="84"/>
        <v>7927978</v>
      </c>
      <c r="H633" s="8">
        <f t="shared" ca="1" si="85"/>
        <v>23783934</v>
      </c>
      <c r="I633" s="8">
        <f t="shared" ca="1" si="86"/>
        <v>17362271.82</v>
      </c>
      <c r="J633" s="8">
        <f t="shared" ca="1" si="87"/>
        <v>6421662.1799999997</v>
      </c>
      <c r="K633" s="6">
        <f t="shared" ca="1" si="88"/>
        <v>0.26999999999999996</v>
      </c>
      <c r="L633" s="4" t="str" cm="1">
        <f t="array" aca="1" ref="L63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33" s="8">
        <f t="shared" ca="1" si="89"/>
        <v>5341</v>
      </c>
      <c r="N633" s="4" t="str" cm="1">
        <f t="array" aca="1" ref="N633" ca="1">INDEX({"New";"Repeat"}, RANDBETWEEN(1,2))</f>
        <v>Repeat</v>
      </c>
      <c r="O633" s="4" t="str" cm="1">
        <f t="array" aca="1" ref="O633" ca="1">INDEX({"Loan";"Cash";"Lease"}, RANDBETWEEN(1,3))</f>
        <v>Lease</v>
      </c>
    </row>
    <row r="634" spans="1:15" x14ac:dyDescent="0.2">
      <c r="A634" s="4">
        <v>632</v>
      </c>
      <c r="B634" s="5">
        <f t="shared" ca="1" si="81"/>
        <v>45217</v>
      </c>
      <c r="C634" s="4" t="str" cm="1">
        <f t="array" aca="1" ref="C634" ca="1">INDEX({"Cochin";"Delhi";"Mumbai";"Pune";"Bengaluru"}, RANDBETWEEN(1,5))</f>
        <v>Mumbai</v>
      </c>
      <c r="D634" s="4" t="str" cm="1">
        <f t="array" aca="1" ref="D634" ca="1">INDEX({"C-Class";"E-Class";"S-Class";"GLA";"GLC";"GLE";"GLS";"EQB"}, RANDBETWEEN(1,8))</f>
        <v>S-Class</v>
      </c>
      <c r="E634" s="4" t="str">
        <f t="shared" ca="1" si="82"/>
        <v>Sedan</v>
      </c>
      <c r="F634" s="4">
        <f t="shared" ca="1" si="83"/>
        <v>4</v>
      </c>
      <c r="G634" s="8">
        <f t="shared" ca="1" si="84"/>
        <v>17021803</v>
      </c>
      <c r="H634" s="8">
        <f t="shared" ca="1" si="85"/>
        <v>68087212</v>
      </c>
      <c r="I634" s="8">
        <f t="shared" ca="1" si="86"/>
        <v>54469769.600000001</v>
      </c>
      <c r="J634" s="8">
        <f t="shared" ca="1" si="87"/>
        <v>13617442.399999999</v>
      </c>
      <c r="K634" s="6">
        <f t="shared" ca="1" si="88"/>
        <v>0.19999999999999998</v>
      </c>
      <c r="L634" s="4" t="str" cm="1">
        <f t="array" aca="1" ref="L63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34" s="8">
        <f t="shared" ca="1" si="89"/>
        <v>14497</v>
      </c>
      <c r="N634" s="4" t="str" cm="1">
        <f t="array" aca="1" ref="N634" ca="1">INDEX({"New";"Repeat"}, RANDBETWEEN(1,2))</f>
        <v>New</v>
      </c>
      <c r="O634" s="4" t="str" cm="1">
        <f t="array" aca="1" ref="O634" ca="1">INDEX({"Loan";"Cash";"Lease"}, RANDBETWEEN(1,3))</f>
        <v>Cash</v>
      </c>
    </row>
    <row r="635" spans="1:15" x14ac:dyDescent="0.2">
      <c r="A635" s="4">
        <v>633</v>
      </c>
      <c r="B635" s="5">
        <f t="shared" ca="1" si="81"/>
        <v>45140</v>
      </c>
      <c r="C635" s="4" t="str" cm="1">
        <f t="array" aca="1" ref="C635" ca="1">INDEX({"Cochin";"Delhi";"Mumbai";"Pune";"Bengaluru"}, RANDBETWEEN(1,5))</f>
        <v>Mumbai</v>
      </c>
      <c r="D635" s="4" t="str" cm="1">
        <f t="array" aca="1" ref="D635" ca="1">INDEX({"C-Class";"E-Class";"S-Class";"GLA";"GLC";"GLE";"GLS";"EQB"}, RANDBETWEEN(1,8))</f>
        <v>C-Class</v>
      </c>
      <c r="E635" s="4" t="str">
        <f t="shared" ca="1" si="82"/>
        <v>Sedan</v>
      </c>
      <c r="F635" s="4">
        <f t="shared" ca="1" si="83"/>
        <v>2</v>
      </c>
      <c r="G635" s="8">
        <f t="shared" ca="1" si="84"/>
        <v>5824651</v>
      </c>
      <c r="H635" s="8">
        <f t="shared" ca="1" si="85"/>
        <v>11649302</v>
      </c>
      <c r="I635" s="8">
        <f t="shared" ca="1" si="86"/>
        <v>9202948.5800000001</v>
      </c>
      <c r="J635" s="8">
        <f t="shared" ca="1" si="87"/>
        <v>2446353.42</v>
      </c>
      <c r="K635" s="6">
        <f t="shared" ca="1" si="88"/>
        <v>0.21</v>
      </c>
      <c r="L635" s="4" t="str" cm="1">
        <f t="array" aca="1" ref="L63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35" s="8">
        <f t="shared" ca="1" si="89"/>
        <v>13895</v>
      </c>
      <c r="N635" s="4" t="str" cm="1">
        <f t="array" aca="1" ref="N635" ca="1">INDEX({"New";"Repeat"}, RANDBETWEEN(1,2))</f>
        <v>New</v>
      </c>
      <c r="O635" s="4" t="str" cm="1">
        <f t="array" aca="1" ref="O635" ca="1">INDEX({"Loan";"Cash";"Lease"}, RANDBETWEEN(1,3))</f>
        <v>Lease</v>
      </c>
    </row>
    <row r="636" spans="1:15" x14ac:dyDescent="0.2">
      <c r="A636" s="4">
        <v>634</v>
      </c>
      <c r="B636" s="5">
        <f t="shared" ca="1" si="81"/>
        <v>44969</v>
      </c>
      <c r="C636" s="4" t="str" cm="1">
        <f t="array" aca="1" ref="C636" ca="1">INDEX({"Cochin";"Delhi";"Mumbai";"Pune";"Bengaluru"}, RANDBETWEEN(1,5))</f>
        <v>Pune</v>
      </c>
      <c r="D636" s="4" t="str" cm="1">
        <f t="array" aca="1" ref="D636" ca="1">INDEX({"C-Class";"E-Class";"S-Class";"GLA";"GLC";"GLE";"GLS";"EQB"}, RANDBETWEEN(1,8))</f>
        <v>C-Class</v>
      </c>
      <c r="E636" s="4" t="str">
        <f t="shared" ca="1" si="82"/>
        <v>Sedan</v>
      </c>
      <c r="F636" s="4">
        <f t="shared" ca="1" si="83"/>
        <v>4</v>
      </c>
      <c r="G636" s="8">
        <f t="shared" ca="1" si="84"/>
        <v>5868119</v>
      </c>
      <c r="H636" s="8">
        <f t="shared" ca="1" si="85"/>
        <v>23472476</v>
      </c>
      <c r="I636" s="8">
        <f t="shared" ca="1" si="86"/>
        <v>19716879.84</v>
      </c>
      <c r="J636" s="8">
        <f t="shared" ca="1" si="87"/>
        <v>3755596.16</v>
      </c>
      <c r="K636" s="6">
        <f t="shared" ca="1" si="88"/>
        <v>0.16</v>
      </c>
      <c r="L636" s="4" t="str" cm="1">
        <f t="array" aca="1" ref="L63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36" s="8">
        <f t="shared" ca="1" si="89"/>
        <v>12292</v>
      </c>
      <c r="N636" s="4" t="str" cm="1">
        <f t="array" aca="1" ref="N636" ca="1">INDEX({"New";"Repeat"}, RANDBETWEEN(1,2))</f>
        <v>New</v>
      </c>
      <c r="O636" s="4" t="str" cm="1">
        <f t="array" aca="1" ref="O636" ca="1">INDEX({"Loan";"Cash";"Lease"}, RANDBETWEEN(1,3))</f>
        <v>Lease</v>
      </c>
    </row>
    <row r="637" spans="1:15" x14ac:dyDescent="0.2">
      <c r="A637" s="4">
        <v>635</v>
      </c>
      <c r="B637" s="5">
        <f t="shared" ca="1" si="81"/>
        <v>45607</v>
      </c>
      <c r="C637" s="4" t="str" cm="1">
        <f t="array" aca="1" ref="C637" ca="1">INDEX({"Cochin";"Delhi";"Mumbai";"Pune";"Bengaluru"}, RANDBETWEEN(1,5))</f>
        <v>Delhi</v>
      </c>
      <c r="D637" s="4" t="str" cm="1">
        <f t="array" aca="1" ref="D637" ca="1">INDEX({"C-Class";"E-Class";"S-Class";"GLA";"GLC";"GLE";"GLS";"EQB"}, RANDBETWEEN(1,8))</f>
        <v>E-Class</v>
      </c>
      <c r="E637" s="4" t="str">
        <f t="shared" ca="1" si="82"/>
        <v>Sedan</v>
      </c>
      <c r="F637" s="4">
        <f t="shared" ca="1" si="83"/>
        <v>2</v>
      </c>
      <c r="G637" s="8">
        <f t="shared" ca="1" si="84"/>
        <v>8989341</v>
      </c>
      <c r="H637" s="8">
        <f t="shared" ca="1" si="85"/>
        <v>17978682</v>
      </c>
      <c r="I637" s="8">
        <f t="shared" ca="1" si="86"/>
        <v>14382945.6</v>
      </c>
      <c r="J637" s="8">
        <f t="shared" ca="1" si="87"/>
        <v>3595736.4000000004</v>
      </c>
      <c r="K637" s="6">
        <f t="shared" ca="1" si="88"/>
        <v>0.2</v>
      </c>
      <c r="L637" s="4" t="str" cm="1">
        <f t="array" aca="1" ref="L637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37" s="8">
        <f t="shared" ca="1" si="89"/>
        <v>23771</v>
      </c>
      <c r="N637" s="4" t="str" cm="1">
        <f t="array" aca="1" ref="N637" ca="1">INDEX({"New";"Repeat"}, RANDBETWEEN(1,2))</f>
        <v>New</v>
      </c>
      <c r="O637" s="4" t="str" cm="1">
        <f t="array" aca="1" ref="O637" ca="1">INDEX({"Loan";"Cash";"Lease"}, RANDBETWEEN(1,3))</f>
        <v>Loan</v>
      </c>
    </row>
    <row r="638" spans="1:15" x14ac:dyDescent="0.2">
      <c r="A638" s="4">
        <v>636</v>
      </c>
      <c r="B638" s="5">
        <f t="shared" ca="1" si="81"/>
        <v>45339</v>
      </c>
      <c r="C638" s="4" t="str" cm="1">
        <f t="array" aca="1" ref="C638" ca="1">INDEX({"Cochin";"Delhi";"Mumbai";"Pune";"Bengaluru"}, RANDBETWEEN(1,5))</f>
        <v>Cochin</v>
      </c>
      <c r="D638" s="4" t="str" cm="1">
        <f t="array" aca="1" ref="D638" ca="1">INDEX({"C-Class";"E-Class";"S-Class";"GLA";"GLC";"GLE";"GLS";"EQB"}, RANDBETWEEN(1,8))</f>
        <v>EQB</v>
      </c>
      <c r="E638" s="4" t="str">
        <f t="shared" ca="1" si="82"/>
        <v>EV</v>
      </c>
      <c r="F638" s="4">
        <f t="shared" ca="1" si="83"/>
        <v>2</v>
      </c>
      <c r="G638" s="8">
        <f t="shared" ca="1" si="84"/>
        <v>7053087</v>
      </c>
      <c r="H638" s="8">
        <f t="shared" ca="1" si="85"/>
        <v>14106174</v>
      </c>
      <c r="I638" s="8">
        <f t="shared" ca="1" si="86"/>
        <v>10720692.24</v>
      </c>
      <c r="J638" s="8">
        <f t="shared" ca="1" si="87"/>
        <v>3385481.76</v>
      </c>
      <c r="K638" s="6">
        <f t="shared" ca="1" si="88"/>
        <v>0.24</v>
      </c>
      <c r="L638" s="4" t="str" cm="1">
        <f t="array" aca="1" ref="L63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38" s="8">
        <f t="shared" ca="1" si="89"/>
        <v>14153</v>
      </c>
      <c r="N638" s="4" t="str" cm="1">
        <f t="array" aca="1" ref="N638" ca="1">INDEX({"New";"Repeat"}, RANDBETWEEN(1,2))</f>
        <v>New</v>
      </c>
      <c r="O638" s="4" t="str" cm="1">
        <f t="array" aca="1" ref="O638" ca="1">INDEX({"Loan";"Cash";"Lease"}, RANDBETWEEN(1,3))</f>
        <v>Cash</v>
      </c>
    </row>
    <row r="639" spans="1:15" x14ac:dyDescent="0.2">
      <c r="A639" s="4">
        <v>637</v>
      </c>
      <c r="B639" s="5">
        <f t="shared" ca="1" si="81"/>
        <v>45040</v>
      </c>
      <c r="C639" s="4" t="str" cm="1">
        <f t="array" aca="1" ref="C639" ca="1">INDEX({"Cochin";"Delhi";"Mumbai";"Pune";"Bengaluru"}, RANDBETWEEN(1,5))</f>
        <v>Mumbai</v>
      </c>
      <c r="D639" s="4" t="str" cm="1">
        <f t="array" aca="1" ref="D639" ca="1">INDEX({"C-Class";"E-Class";"S-Class";"GLA";"GLC";"GLE";"GLS";"EQB"}, RANDBETWEEN(1,8))</f>
        <v>C-Class</v>
      </c>
      <c r="E639" s="4" t="str">
        <f t="shared" ca="1" si="82"/>
        <v>Sedan</v>
      </c>
      <c r="F639" s="4">
        <f t="shared" ca="1" si="83"/>
        <v>5</v>
      </c>
      <c r="G639" s="8">
        <f t="shared" ca="1" si="84"/>
        <v>6354229</v>
      </c>
      <c r="H639" s="8">
        <f t="shared" ca="1" si="85"/>
        <v>31771145</v>
      </c>
      <c r="I639" s="8">
        <f t="shared" ca="1" si="86"/>
        <v>22875224.399999999</v>
      </c>
      <c r="J639" s="8">
        <f t="shared" ca="1" si="87"/>
        <v>8895920.6000000015</v>
      </c>
      <c r="K639" s="6">
        <f t="shared" ca="1" si="88"/>
        <v>0.28000000000000003</v>
      </c>
      <c r="L639" s="4" t="str" cm="1">
        <f t="array" aca="1" ref="L63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39" s="8">
        <f t="shared" ca="1" si="89"/>
        <v>24262</v>
      </c>
      <c r="N639" s="4" t="str" cm="1">
        <f t="array" aca="1" ref="N639" ca="1">INDEX({"New";"Repeat"}, RANDBETWEEN(1,2))</f>
        <v>New</v>
      </c>
      <c r="O639" s="4" t="str" cm="1">
        <f t="array" aca="1" ref="O639" ca="1">INDEX({"Loan";"Cash";"Lease"}, RANDBETWEEN(1,3))</f>
        <v>Lease</v>
      </c>
    </row>
    <row r="640" spans="1:15" x14ac:dyDescent="0.2">
      <c r="A640" s="4">
        <v>638</v>
      </c>
      <c r="B640" s="5">
        <f t="shared" ca="1" si="81"/>
        <v>45440</v>
      </c>
      <c r="C640" s="4" t="str" cm="1">
        <f t="array" aca="1" ref="C640" ca="1">INDEX({"Cochin";"Delhi";"Mumbai";"Pune";"Bengaluru"}, RANDBETWEEN(1,5))</f>
        <v>Mumbai</v>
      </c>
      <c r="D640" s="4" t="str" cm="1">
        <f t="array" aca="1" ref="D640" ca="1">INDEX({"C-Class";"E-Class";"S-Class";"GLA";"GLC";"GLE";"GLS";"EQB"}, RANDBETWEEN(1,8))</f>
        <v>EQB</v>
      </c>
      <c r="E640" s="4" t="str">
        <f t="shared" ca="1" si="82"/>
        <v>EV</v>
      </c>
      <c r="F640" s="4">
        <f t="shared" ca="1" si="83"/>
        <v>2</v>
      </c>
      <c r="G640" s="8">
        <f t="shared" ca="1" si="84"/>
        <v>7033029</v>
      </c>
      <c r="H640" s="8">
        <f t="shared" ca="1" si="85"/>
        <v>14066058</v>
      </c>
      <c r="I640" s="8">
        <f t="shared" ca="1" si="86"/>
        <v>10127561.76</v>
      </c>
      <c r="J640" s="8">
        <f t="shared" ca="1" si="87"/>
        <v>3938496.24</v>
      </c>
      <c r="K640" s="6">
        <f t="shared" ca="1" si="88"/>
        <v>0.28000000000000003</v>
      </c>
      <c r="L640" s="4" t="str" cm="1">
        <f t="array" aca="1" ref="L64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40" s="8">
        <f t="shared" ca="1" si="89"/>
        <v>7645</v>
      </c>
      <c r="N640" s="4" t="str" cm="1">
        <f t="array" aca="1" ref="N640" ca="1">INDEX({"New";"Repeat"}, RANDBETWEEN(1,2))</f>
        <v>Repeat</v>
      </c>
      <c r="O640" s="4" t="str" cm="1">
        <f t="array" aca="1" ref="O640" ca="1">INDEX({"Loan";"Cash";"Lease"}, RANDBETWEEN(1,3))</f>
        <v>Cash</v>
      </c>
    </row>
    <row r="641" spans="1:15" x14ac:dyDescent="0.2">
      <c r="A641" s="4">
        <v>639</v>
      </c>
      <c r="B641" s="5">
        <f t="shared" ca="1" si="81"/>
        <v>45180</v>
      </c>
      <c r="C641" s="4" t="str" cm="1">
        <f t="array" aca="1" ref="C641" ca="1">INDEX({"Cochin";"Delhi";"Mumbai";"Pune";"Bengaluru"}, RANDBETWEEN(1,5))</f>
        <v>Bengaluru</v>
      </c>
      <c r="D641" s="4" t="str" cm="1">
        <f t="array" aca="1" ref="D641" ca="1">INDEX({"C-Class";"E-Class";"S-Class";"GLA";"GLC";"GLE";"GLS";"EQB"}, RANDBETWEEN(1,8))</f>
        <v>GLA</v>
      </c>
      <c r="E641" s="4" t="str">
        <f t="shared" ca="1" si="82"/>
        <v>SUV</v>
      </c>
      <c r="F641" s="4">
        <f t="shared" ca="1" si="83"/>
        <v>3</v>
      </c>
      <c r="G641" s="8">
        <f t="shared" ca="1" si="84"/>
        <v>4922072</v>
      </c>
      <c r="H641" s="8">
        <f t="shared" ca="1" si="85"/>
        <v>14766216</v>
      </c>
      <c r="I641" s="8">
        <f t="shared" ca="1" si="86"/>
        <v>10926999.84</v>
      </c>
      <c r="J641" s="8">
        <f t="shared" ca="1" si="87"/>
        <v>3839216.16</v>
      </c>
      <c r="K641" s="6">
        <f t="shared" ca="1" si="88"/>
        <v>0.26</v>
      </c>
      <c r="L641" s="4" t="str" cm="1">
        <f t="array" aca="1" ref="L64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41" s="8">
        <f t="shared" ca="1" si="89"/>
        <v>6890</v>
      </c>
      <c r="N641" s="4" t="str" cm="1">
        <f t="array" aca="1" ref="N641" ca="1">INDEX({"New";"Repeat"}, RANDBETWEEN(1,2))</f>
        <v>Repeat</v>
      </c>
      <c r="O641" s="4" t="str" cm="1">
        <f t="array" aca="1" ref="O641" ca="1">INDEX({"Loan";"Cash";"Lease"}, RANDBETWEEN(1,3))</f>
        <v>Lease</v>
      </c>
    </row>
    <row r="642" spans="1:15" x14ac:dyDescent="0.2">
      <c r="A642" s="4">
        <v>640</v>
      </c>
      <c r="B642" s="5">
        <f t="shared" ca="1" si="81"/>
        <v>45880</v>
      </c>
      <c r="C642" s="4" t="str" cm="1">
        <f t="array" aca="1" ref="C642" ca="1">INDEX({"Cochin";"Delhi";"Mumbai";"Pune";"Bengaluru"}, RANDBETWEEN(1,5))</f>
        <v>Bengaluru</v>
      </c>
      <c r="D642" s="4" t="str" cm="1">
        <f t="array" aca="1" ref="D642" ca="1">INDEX({"C-Class";"E-Class";"S-Class";"GLA";"GLC";"GLE";"GLS";"EQB"}, RANDBETWEEN(1,8))</f>
        <v>GLA</v>
      </c>
      <c r="E642" s="4" t="str">
        <f t="shared" ca="1" si="82"/>
        <v>SUV</v>
      </c>
      <c r="F642" s="4">
        <f t="shared" ca="1" si="83"/>
        <v>3</v>
      </c>
      <c r="G642" s="8">
        <f t="shared" ca="1" si="84"/>
        <v>5130754</v>
      </c>
      <c r="H642" s="8">
        <f t="shared" ca="1" si="85"/>
        <v>15392262</v>
      </c>
      <c r="I642" s="8">
        <f t="shared" ca="1" si="86"/>
        <v>12313809.6</v>
      </c>
      <c r="J642" s="8">
        <f t="shared" ca="1" si="87"/>
        <v>3078452.4000000004</v>
      </c>
      <c r="K642" s="6">
        <f t="shared" ca="1" si="88"/>
        <v>0.2</v>
      </c>
      <c r="L642" s="4" t="str" cm="1">
        <f t="array" aca="1" ref="L642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42" s="8">
        <f t="shared" ca="1" si="89"/>
        <v>3093</v>
      </c>
      <c r="N642" s="4" t="str" cm="1">
        <f t="array" aca="1" ref="N642" ca="1">INDEX({"New";"Repeat"}, RANDBETWEEN(1,2))</f>
        <v>Repeat</v>
      </c>
      <c r="O642" s="4" t="str" cm="1">
        <f t="array" aca="1" ref="O642" ca="1">INDEX({"Loan";"Cash";"Lease"}, RANDBETWEEN(1,3))</f>
        <v>Lease</v>
      </c>
    </row>
    <row r="643" spans="1:15" x14ac:dyDescent="0.2">
      <c r="A643" s="4">
        <v>641</v>
      </c>
      <c r="B643" s="5">
        <f t="shared" ca="1" si="81"/>
        <v>45723</v>
      </c>
      <c r="C643" s="4" t="str" cm="1">
        <f t="array" aca="1" ref="C643" ca="1">INDEX({"Cochin";"Delhi";"Mumbai";"Pune";"Bengaluru"}, RANDBETWEEN(1,5))</f>
        <v>Pune</v>
      </c>
      <c r="D643" s="4" t="str" cm="1">
        <f t="array" aca="1" ref="D643" ca="1">INDEX({"C-Class";"E-Class";"S-Class";"GLA";"GLC";"GLE";"GLS";"EQB"}, RANDBETWEEN(1,8))</f>
        <v>GLA</v>
      </c>
      <c r="E643" s="4" t="str">
        <f t="shared" ca="1" si="82"/>
        <v>SUV</v>
      </c>
      <c r="F643" s="4">
        <f t="shared" ca="1" si="83"/>
        <v>4</v>
      </c>
      <c r="G643" s="8">
        <f t="shared" ca="1" si="84"/>
        <v>5478446</v>
      </c>
      <c r="H643" s="8">
        <f t="shared" ca="1" si="85"/>
        <v>21913784</v>
      </c>
      <c r="I643" s="8">
        <f t="shared" ca="1" si="86"/>
        <v>16654475.84</v>
      </c>
      <c r="J643" s="8">
        <f t="shared" ca="1" si="87"/>
        <v>5259308.16</v>
      </c>
      <c r="K643" s="6">
        <f t="shared" ca="1" si="88"/>
        <v>0.24000000000000002</v>
      </c>
      <c r="L643" s="4" t="str" cm="1">
        <f t="array" aca="1" ref="L64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43" s="8">
        <f t="shared" ca="1" si="89"/>
        <v>10645</v>
      </c>
      <c r="N643" s="4" t="str" cm="1">
        <f t="array" aca="1" ref="N643" ca="1">INDEX({"New";"Repeat"}, RANDBETWEEN(1,2))</f>
        <v>New</v>
      </c>
      <c r="O643" s="4" t="str" cm="1">
        <f t="array" aca="1" ref="O643" ca="1">INDEX({"Loan";"Cash";"Lease"}, RANDBETWEEN(1,3))</f>
        <v>Cash</v>
      </c>
    </row>
    <row r="644" spans="1:15" x14ac:dyDescent="0.2">
      <c r="A644" s="4">
        <v>642</v>
      </c>
      <c r="B644" s="5">
        <f t="shared" ref="B644:B707" ca="1" si="90">RANDBETWEEN(DATE(2023,1,1),DATE(2025,9,1))</f>
        <v>45831</v>
      </c>
      <c r="C644" s="4" t="str" cm="1">
        <f t="array" aca="1" ref="C644" ca="1">INDEX({"Cochin";"Delhi";"Mumbai";"Pune";"Bengaluru"}, RANDBETWEEN(1,5))</f>
        <v>Delhi</v>
      </c>
      <c r="D644" s="4" t="str" cm="1">
        <f t="array" aca="1" ref="D644" ca="1">INDEX({"C-Class";"E-Class";"S-Class";"GLA";"GLC";"GLE";"GLS";"EQB"}, RANDBETWEEN(1,8))</f>
        <v>S-Class</v>
      </c>
      <c r="E644" s="4" t="str">
        <f t="shared" ref="E644:E707" ca="1" si="91">IF(D644="EQB","EV", IF(OR(D644="GLA",D644="GLC",D644="GLE",D644="GLS"),"SUV","Sedan"))</f>
        <v>Sedan</v>
      </c>
      <c r="F644" s="4">
        <f t="shared" ref="F644:F707" ca="1" si="92">RANDBETWEEN(1,5)</f>
        <v>1</v>
      </c>
      <c r="G644" s="8">
        <f t="shared" ref="G644:G707" ca="1" si="93">IF(D644="C-Class",RANDBETWEEN(5500000,7000000),
IF(D644="E-Class",RANDBETWEEN(7500000,9500000),
IF(D644="S-Class",RANDBETWEEN(15000000,25000000),
IF(D644="GLA",RANDBETWEEN(4500000,5500000),
IF(D644="GLC",RANDBETWEEN(6500000,7500000),
IF(D644="GLE",RANDBETWEEN(9000000,13000000),
IF(D644="GLS",RANDBETWEEN(13000000,18000000),
IF(D644="EQB",RANDBETWEEN(7000000,8000000)))))))))</f>
        <v>21876875</v>
      </c>
      <c r="H644" s="8">
        <f t="shared" ref="H644:H707" ca="1" si="94">F644*G644</f>
        <v>21876875</v>
      </c>
      <c r="I644" s="8">
        <f t="shared" ref="I644:I707" ca="1" si="95">G644 *F644* RANDBETWEEN(70,85) / 100</f>
        <v>15970118.75</v>
      </c>
      <c r="J644" s="8">
        <f t="shared" ref="J644:J707" ca="1" si="96">H644 -I644</f>
        <v>5906756.25</v>
      </c>
      <c r="K644" s="6">
        <f t="shared" ref="K644:K707" ca="1" si="97">J644/H644</f>
        <v>0.27</v>
      </c>
      <c r="L644" s="4" t="str" cm="1">
        <f t="array" aca="1" ref="L64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44" s="8">
        <f t="shared" ref="M644:M707" ca="1" si="98">IF(N644="New", RANDBETWEEN(10000,25000), RANDBETWEEN(3000,8000))</f>
        <v>15586</v>
      </c>
      <c r="N644" s="4" t="str" cm="1">
        <f t="array" aca="1" ref="N644" ca="1">INDEX({"New";"Repeat"}, RANDBETWEEN(1,2))</f>
        <v>New</v>
      </c>
      <c r="O644" s="4" t="str" cm="1">
        <f t="array" aca="1" ref="O644" ca="1">INDEX({"Loan";"Cash";"Lease"}, RANDBETWEEN(1,3))</f>
        <v>Cash</v>
      </c>
    </row>
    <row r="645" spans="1:15" x14ac:dyDescent="0.2">
      <c r="A645" s="4">
        <v>643</v>
      </c>
      <c r="B645" s="5">
        <f t="shared" ca="1" si="90"/>
        <v>45442</v>
      </c>
      <c r="C645" s="4" t="str" cm="1">
        <f t="array" aca="1" ref="C645" ca="1">INDEX({"Cochin";"Delhi";"Mumbai";"Pune";"Bengaluru"}, RANDBETWEEN(1,5))</f>
        <v>Delhi</v>
      </c>
      <c r="D645" s="4" t="str" cm="1">
        <f t="array" aca="1" ref="D645" ca="1">INDEX({"C-Class";"E-Class";"S-Class";"GLA";"GLC";"GLE";"GLS";"EQB"}, RANDBETWEEN(1,8))</f>
        <v>EQB</v>
      </c>
      <c r="E645" s="4" t="str">
        <f t="shared" ca="1" si="91"/>
        <v>EV</v>
      </c>
      <c r="F645" s="4">
        <f t="shared" ca="1" si="92"/>
        <v>4</v>
      </c>
      <c r="G645" s="8">
        <f t="shared" ca="1" si="93"/>
        <v>7876032</v>
      </c>
      <c r="H645" s="8">
        <f t="shared" ca="1" si="94"/>
        <v>31504128</v>
      </c>
      <c r="I645" s="8">
        <f t="shared" ca="1" si="95"/>
        <v>23943137.280000001</v>
      </c>
      <c r="J645" s="8">
        <f t="shared" ca="1" si="96"/>
        <v>7560990.7199999988</v>
      </c>
      <c r="K645" s="6">
        <f t="shared" ca="1" si="97"/>
        <v>0.23999999999999996</v>
      </c>
      <c r="L645" s="4" t="str" cm="1">
        <f t="array" aca="1" ref="L64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645" s="8">
        <f t="shared" ca="1" si="98"/>
        <v>16077</v>
      </c>
      <c r="N645" s="4" t="str" cm="1">
        <f t="array" aca="1" ref="N645" ca="1">INDEX({"New";"Repeat"}, RANDBETWEEN(1,2))</f>
        <v>New</v>
      </c>
      <c r="O645" s="4" t="str" cm="1">
        <f t="array" aca="1" ref="O645" ca="1">INDEX({"Loan";"Cash";"Lease"}, RANDBETWEEN(1,3))</f>
        <v>Loan</v>
      </c>
    </row>
    <row r="646" spans="1:15" x14ac:dyDescent="0.2">
      <c r="A646" s="4">
        <v>644</v>
      </c>
      <c r="B646" s="5">
        <f t="shared" ca="1" si="90"/>
        <v>45035</v>
      </c>
      <c r="C646" s="4" t="str" cm="1">
        <f t="array" aca="1" ref="C646" ca="1">INDEX({"Cochin";"Delhi";"Mumbai";"Pune";"Bengaluru"}, RANDBETWEEN(1,5))</f>
        <v>Cochin</v>
      </c>
      <c r="D646" s="4" t="str" cm="1">
        <f t="array" aca="1" ref="D646" ca="1">INDEX({"C-Class";"E-Class";"S-Class";"GLA";"GLC";"GLE";"GLS";"EQB"}, RANDBETWEEN(1,8))</f>
        <v>GLC</v>
      </c>
      <c r="E646" s="4" t="str">
        <f t="shared" ca="1" si="91"/>
        <v>SUV</v>
      </c>
      <c r="F646" s="4">
        <f t="shared" ca="1" si="92"/>
        <v>2</v>
      </c>
      <c r="G646" s="8">
        <f t="shared" ca="1" si="93"/>
        <v>6773003</v>
      </c>
      <c r="H646" s="8">
        <f t="shared" ca="1" si="94"/>
        <v>13546006</v>
      </c>
      <c r="I646" s="8">
        <f t="shared" ca="1" si="95"/>
        <v>9617664.2599999998</v>
      </c>
      <c r="J646" s="8">
        <f t="shared" ca="1" si="96"/>
        <v>3928341.74</v>
      </c>
      <c r="K646" s="6">
        <f t="shared" ca="1" si="97"/>
        <v>0.29000000000000004</v>
      </c>
      <c r="L646" s="4" t="str" cm="1">
        <f t="array" aca="1" ref="L646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46" s="8">
        <f t="shared" ca="1" si="98"/>
        <v>7653</v>
      </c>
      <c r="N646" s="4" t="str" cm="1">
        <f t="array" aca="1" ref="N646" ca="1">INDEX({"New";"Repeat"}, RANDBETWEEN(1,2))</f>
        <v>Repeat</v>
      </c>
      <c r="O646" s="4" t="str" cm="1">
        <f t="array" aca="1" ref="O646" ca="1">INDEX({"Loan";"Cash";"Lease"}, RANDBETWEEN(1,3))</f>
        <v>Loan</v>
      </c>
    </row>
    <row r="647" spans="1:15" x14ac:dyDescent="0.2">
      <c r="A647" s="4">
        <v>645</v>
      </c>
      <c r="B647" s="5">
        <f t="shared" ca="1" si="90"/>
        <v>45569</v>
      </c>
      <c r="C647" s="4" t="str" cm="1">
        <f t="array" aca="1" ref="C647" ca="1">INDEX({"Cochin";"Delhi";"Mumbai";"Pune";"Bengaluru"}, RANDBETWEEN(1,5))</f>
        <v>Delhi</v>
      </c>
      <c r="D647" s="4" t="str" cm="1">
        <f t="array" aca="1" ref="D647" ca="1">INDEX({"C-Class";"E-Class";"S-Class";"GLA";"GLC";"GLE";"GLS";"EQB"}, RANDBETWEEN(1,8))</f>
        <v>GLA</v>
      </c>
      <c r="E647" s="4" t="str">
        <f t="shared" ca="1" si="91"/>
        <v>SUV</v>
      </c>
      <c r="F647" s="4">
        <f t="shared" ca="1" si="92"/>
        <v>3</v>
      </c>
      <c r="G647" s="8">
        <f t="shared" ca="1" si="93"/>
        <v>5425178</v>
      </c>
      <c r="H647" s="8">
        <f t="shared" ca="1" si="94"/>
        <v>16275534</v>
      </c>
      <c r="I647" s="8">
        <f t="shared" ca="1" si="95"/>
        <v>13183182.539999999</v>
      </c>
      <c r="J647" s="8">
        <f t="shared" ca="1" si="96"/>
        <v>3092351.4600000009</v>
      </c>
      <c r="K647" s="6">
        <f t="shared" ca="1" si="97"/>
        <v>0.19000000000000006</v>
      </c>
      <c r="L647" s="4" t="str" cm="1">
        <f t="array" aca="1" ref="L64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47" s="8">
        <f t="shared" ca="1" si="98"/>
        <v>5163</v>
      </c>
      <c r="N647" s="4" t="str" cm="1">
        <f t="array" aca="1" ref="N647" ca="1">INDEX({"New";"Repeat"}, RANDBETWEEN(1,2))</f>
        <v>Repeat</v>
      </c>
      <c r="O647" s="4" t="str" cm="1">
        <f t="array" aca="1" ref="O647" ca="1">INDEX({"Loan";"Cash";"Lease"}, RANDBETWEEN(1,3))</f>
        <v>Loan</v>
      </c>
    </row>
    <row r="648" spans="1:15" x14ac:dyDescent="0.2">
      <c r="A648" s="4">
        <v>646</v>
      </c>
      <c r="B648" s="5">
        <f t="shared" ca="1" si="90"/>
        <v>45856</v>
      </c>
      <c r="C648" s="4" t="str" cm="1">
        <f t="array" aca="1" ref="C648" ca="1">INDEX({"Cochin";"Delhi";"Mumbai";"Pune";"Bengaluru"}, RANDBETWEEN(1,5))</f>
        <v>Pune</v>
      </c>
      <c r="D648" s="4" t="str" cm="1">
        <f t="array" aca="1" ref="D648" ca="1">INDEX({"C-Class";"E-Class";"S-Class";"GLA";"GLC";"GLE";"GLS";"EQB"}, RANDBETWEEN(1,8))</f>
        <v>GLA</v>
      </c>
      <c r="E648" s="4" t="str">
        <f t="shared" ca="1" si="91"/>
        <v>SUV</v>
      </c>
      <c r="F648" s="4">
        <f t="shared" ca="1" si="92"/>
        <v>3</v>
      </c>
      <c r="G648" s="8">
        <f t="shared" ca="1" si="93"/>
        <v>5427192</v>
      </c>
      <c r="H648" s="8">
        <f t="shared" ca="1" si="94"/>
        <v>16281576</v>
      </c>
      <c r="I648" s="8">
        <f t="shared" ca="1" si="95"/>
        <v>13350892.32</v>
      </c>
      <c r="J648" s="8">
        <f t="shared" ca="1" si="96"/>
        <v>2930683.6799999997</v>
      </c>
      <c r="K648" s="6">
        <f t="shared" ca="1" si="97"/>
        <v>0.18</v>
      </c>
      <c r="L648" s="4" t="str" cm="1">
        <f t="array" aca="1" ref="L64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48" s="8">
        <f t="shared" ca="1" si="98"/>
        <v>5759</v>
      </c>
      <c r="N648" s="4" t="str" cm="1">
        <f t="array" aca="1" ref="N648" ca="1">INDEX({"New";"Repeat"}, RANDBETWEEN(1,2))</f>
        <v>Repeat</v>
      </c>
      <c r="O648" s="4" t="str" cm="1">
        <f t="array" aca="1" ref="O648" ca="1">INDEX({"Loan";"Cash";"Lease"}, RANDBETWEEN(1,3))</f>
        <v>Cash</v>
      </c>
    </row>
    <row r="649" spans="1:15" x14ac:dyDescent="0.2">
      <c r="A649" s="4">
        <v>647</v>
      </c>
      <c r="B649" s="5">
        <f t="shared" ca="1" si="90"/>
        <v>45126</v>
      </c>
      <c r="C649" s="4" t="str" cm="1">
        <f t="array" aca="1" ref="C649" ca="1">INDEX({"Cochin";"Delhi";"Mumbai";"Pune";"Bengaluru"}, RANDBETWEEN(1,5))</f>
        <v>Pune</v>
      </c>
      <c r="D649" s="4" t="str" cm="1">
        <f t="array" aca="1" ref="D649" ca="1">INDEX({"C-Class";"E-Class";"S-Class";"GLA";"GLC";"GLE";"GLS";"EQB"}, RANDBETWEEN(1,8))</f>
        <v>E-Class</v>
      </c>
      <c r="E649" s="4" t="str">
        <f t="shared" ca="1" si="91"/>
        <v>Sedan</v>
      </c>
      <c r="F649" s="4">
        <f t="shared" ca="1" si="92"/>
        <v>5</v>
      </c>
      <c r="G649" s="8">
        <f t="shared" ca="1" si="93"/>
        <v>8137074</v>
      </c>
      <c r="H649" s="8">
        <f t="shared" ca="1" si="94"/>
        <v>40685370</v>
      </c>
      <c r="I649" s="8">
        <f t="shared" ca="1" si="95"/>
        <v>30514027.5</v>
      </c>
      <c r="J649" s="8">
        <f t="shared" ca="1" si="96"/>
        <v>10171342.5</v>
      </c>
      <c r="K649" s="6">
        <f t="shared" ca="1" si="97"/>
        <v>0.25</v>
      </c>
      <c r="L649" s="4" t="str" cm="1">
        <f t="array" aca="1" ref="L64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649" s="8">
        <f t="shared" ca="1" si="98"/>
        <v>4578</v>
      </c>
      <c r="N649" s="4" t="str" cm="1">
        <f t="array" aca="1" ref="N649" ca="1">INDEX({"New";"Repeat"}, RANDBETWEEN(1,2))</f>
        <v>Repeat</v>
      </c>
      <c r="O649" s="4" t="str" cm="1">
        <f t="array" aca="1" ref="O649" ca="1">INDEX({"Loan";"Cash";"Lease"}, RANDBETWEEN(1,3))</f>
        <v>Loan</v>
      </c>
    </row>
    <row r="650" spans="1:15" x14ac:dyDescent="0.2">
      <c r="A650" s="4">
        <v>648</v>
      </c>
      <c r="B650" s="5">
        <f t="shared" ca="1" si="90"/>
        <v>45011</v>
      </c>
      <c r="C650" s="4" t="str" cm="1">
        <f t="array" aca="1" ref="C650" ca="1">INDEX({"Cochin";"Delhi";"Mumbai";"Pune";"Bengaluru"}, RANDBETWEEN(1,5))</f>
        <v>Cochin</v>
      </c>
      <c r="D650" s="4" t="str" cm="1">
        <f t="array" aca="1" ref="D650" ca="1">INDEX({"C-Class";"E-Class";"S-Class";"GLA";"GLC";"GLE";"GLS";"EQB"}, RANDBETWEEN(1,8))</f>
        <v>S-Class</v>
      </c>
      <c r="E650" s="4" t="str">
        <f t="shared" ca="1" si="91"/>
        <v>Sedan</v>
      </c>
      <c r="F650" s="4">
        <f t="shared" ca="1" si="92"/>
        <v>3</v>
      </c>
      <c r="G650" s="8">
        <f t="shared" ca="1" si="93"/>
        <v>18758353</v>
      </c>
      <c r="H650" s="8">
        <f t="shared" ca="1" si="94"/>
        <v>56275059</v>
      </c>
      <c r="I650" s="8">
        <f t="shared" ca="1" si="95"/>
        <v>46708298.969999999</v>
      </c>
      <c r="J650" s="8">
        <f t="shared" ca="1" si="96"/>
        <v>9566760.0300000012</v>
      </c>
      <c r="K650" s="6">
        <f t="shared" ca="1" si="97"/>
        <v>0.17</v>
      </c>
      <c r="L650" s="4" t="str" cm="1">
        <f t="array" aca="1" ref="L65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50" s="8">
        <f t="shared" ca="1" si="98"/>
        <v>6340</v>
      </c>
      <c r="N650" s="4" t="str" cm="1">
        <f t="array" aca="1" ref="N650" ca="1">INDEX({"New";"Repeat"}, RANDBETWEEN(1,2))</f>
        <v>Repeat</v>
      </c>
      <c r="O650" s="4" t="str" cm="1">
        <f t="array" aca="1" ref="O650" ca="1">INDEX({"Loan";"Cash";"Lease"}, RANDBETWEEN(1,3))</f>
        <v>Cash</v>
      </c>
    </row>
    <row r="651" spans="1:15" x14ac:dyDescent="0.2">
      <c r="A651" s="4">
        <v>649</v>
      </c>
      <c r="B651" s="5">
        <f t="shared" ca="1" si="90"/>
        <v>45774</v>
      </c>
      <c r="C651" s="4" t="str" cm="1">
        <f t="array" aca="1" ref="C651" ca="1">INDEX({"Cochin";"Delhi";"Mumbai";"Pune";"Bengaluru"}, RANDBETWEEN(1,5))</f>
        <v>Cochin</v>
      </c>
      <c r="D651" s="4" t="str" cm="1">
        <f t="array" aca="1" ref="D651" ca="1">INDEX({"C-Class";"E-Class";"S-Class";"GLA";"GLC";"GLE";"GLS";"EQB"}, RANDBETWEEN(1,8))</f>
        <v>GLS</v>
      </c>
      <c r="E651" s="4" t="str">
        <f t="shared" ca="1" si="91"/>
        <v>SUV</v>
      </c>
      <c r="F651" s="4">
        <f t="shared" ca="1" si="92"/>
        <v>1</v>
      </c>
      <c r="G651" s="8">
        <f t="shared" ca="1" si="93"/>
        <v>16687433</v>
      </c>
      <c r="H651" s="8">
        <f t="shared" ca="1" si="94"/>
        <v>16687433</v>
      </c>
      <c r="I651" s="8">
        <f t="shared" ca="1" si="95"/>
        <v>11681203.1</v>
      </c>
      <c r="J651" s="8">
        <f t="shared" ca="1" si="96"/>
        <v>5006229.9000000004</v>
      </c>
      <c r="K651" s="6">
        <f t="shared" ca="1" si="97"/>
        <v>0.30000000000000004</v>
      </c>
      <c r="L651" s="4" t="str" cm="1">
        <f t="array" aca="1" ref="L65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51" s="8">
        <f t="shared" ca="1" si="98"/>
        <v>7743</v>
      </c>
      <c r="N651" s="4" t="str" cm="1">
        <f t="array" aca="1" ref="N651" ca="1">INDEX({"New";"Repeat"}, RANDBETWEEN(1,2))</f>
        <v>Repeat</v>
      </c>
      <c r="O651" s="4" t="str" cm="1">
        <f t="array" aca="1" ref="O651" ca="1">INDEX({"Loan";"Cash";"Lease"}, RANDBETWEEN(1,3))</f>
        <v>Loan</v>
      </c>
    </row>
    <row r="652" spans="1:15" x14ac:dyDescent="0.2">
      <c r="A652" s="4">
        <v>650</v>
      </c>
      <c r="B652" s="5">
        <f t="shared" ca="1" si="90"/>
        <v>45423</v>
      </c>
      <c r="C652" s="4" t="str" cm="1">
        <f t="array" aca="1" ref="C652" ca="1">INDEX({"Cochin";"Delhi";"Mumbai";"Pune";"Bengaluru"}, RANDBETWEEN(1,5))</f>
        <v>Bengaluru</v>
      </c>
      <c r="D652" s="4" t="str" cm="1">
        <f t="array" aca="1" ref="D652" ca="1">INDEX({"C-Class";"E-Class";"S-Class";"GLA";"GLC";"GLE";"GLS";"EQB"}, RANDBETWEEN(1,8))</f>
        <v>EQB</v>
      </c>
      <c r="E652" s="4" t="str">
        <f t="shared" ca="1" si="91"/>
        <v>EV</v>
      </c>
      <c r="F652" s="4">
        <f t="shared" ca="1" si="92"/>
        <v>3</v>
      </c>
      <c r="G652" s="8">
        <f t="shared" ca="1" si="93"/>
        <v>7295579</v>
      </c>
      <c r="H652" s="8">
        <f t="shared" ca="1" si="94"/>
        <v>21886737</v>
      </c>
      <c r="I652" s="8">
        <f t="shared" ca="1" si="95"/>
        <v>18384859.079999998</v>
      </c>
      <c r="J652" s="8">
        <f t="shared" ca="1" si="96"/>
        <v>3501877.9200000018</v>
      </c>
      <c r="K652" s="6">
        <f t="shared" ca="1" si="97"/>
        <v>0.16000000000000009</v>
      </c>
      <c r="L652" s="4" t="str" cm="1">
        <f t="array" aca="1" ref="L652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52" s="8">
        <f t="shared" ca="1" si="98"/>
        <v>18314</v>
      </c>
      <c r="N652" s="4" t="str" cm="1">
        <f t="array" aca="1" ref="N652" ca="1">INDEX({"New";"Repeat"}, RANDBETWEEN(1,2))</f>
        <v>New</v>
      </c>
      <c r="O652" s="4" t="str" cm="1">
        <f t="array" aca="1" ref="O652" ca="1">INDEX({"Loan";"Cash";"Lease"}, RANDBETWEEN(1,3))</f>
        <v>Loan</v>
      </c>
    </row>
    <row r="653" spans="1:15" x14ac:dyDescent="0.2">
      <c r="A653" s="4">
        <v>651</v>
      </c>
      <c r="B653" s="5">
        <f t="shared" ca="1" si="90"/>
        <v>45366</v>
      </c>
      <c r="C653" s="4" t="str" cm="1">
        <f t="array" aca="1" ref="C653" ca="1">INDEX({"Cochin";"Delhi";"Mumbai";"Pune";"Bengaluru"}, RANDBETWEEN(1,5))</f>
        <v>Cochin</v>
      </c>
      <c r="D653" s="4" t="str" cm="1">
        <f t="array" aca="1" ref="D653" ca="1">INDEX({"C-Class";"E-Class";"S-Class";"GLA";"GLC";"GLE";"GLS";"EQB"}, RANDBETWEEN(1,8))</f>
        <v>EQB</v>
      </c>
      <c r="E653" s="4" t="str">
        <f t="shared" ca="1" si="91"/>
        <v>EV</v>
      </c>
      <c r="F653" s="4">
        <f t="shared" ca="1" si="92"/>
        <v>3</v>
      </c>
      <c r="G653" s="8">
        <f t="shared" ca="1" si="93"/>
        <v>7764355</v>
      </c>
      <c r="H653" s="8">
        <f t="shared" ca="1" si="94"/>
        <v>23293065</v>
      </c>
      <c r="I653" s="8">
        <f t="shared" ca="1" si="95"/>
        <v>18401521.350000001</v>
      </c>
      <c r="J653" s="8">
        <f t="shared" ca="1" si="96"/>
        <v>4891543.6499999985</v>
      </c>
      <c r="K653" s="6">
        <f t="shared" ca="1" si="97"/>
        <v>0.20999999999999994</v>
      </c>
      <c r="L653" s="4" t="str" cm="1">
        <f t="array" aca="1" ref="L65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53" s="8">
        <f t="shared" ca="1" si="98"/>
        <v>4031</v>
      </c>
      <c r="N653" s="4" t="str" cm="1">
        <f t="array" aca="1" ref="N653" ca="1">INDEX({"New";"Repeat"}, RANDBETWEEN(1,2))</f>
        <v>Repeat</v>
      </c>
      <c r="O653" s="4" t="str" cm="1">
        <f t="array" aca="1" ref="O653" ca="1">INDEX({"Loan";"Cash";"Lease"}, RANDBETWEEN(1,3))</f>
        <v>Loan</v>
      </c>
    </row>
    <row r="654" spans="1:15" x14ac:dyDescent="0.2">
      <c r="A654" s="4">
        <v>652</v>
      </c>
      <c r="B654" s="5">
        <f t="shared" ca="1" si="90"/>
        <v>45677</v>
      </c>
      <c r="C654" s="4" t="str" cm="1">
        <f t="array" aca="1" ref="C654" ca="1">INDEX({"Cochin";"Delhi";"Mumbai";"Pune";"Bengaluru"}, RANDBETWEEN(1,5))</f>
        <v>Delhi</v>
      </c>
      <c r="D654" s="4" t="str" cm="1">
        <f t="array" aca="1" ref="D654" ca="1">INDEX({"C-Class";"E-Class";"S-Class";"GLA";"GLC";"GLE";"GLS";"EQB"}, RANDBETWEEN(1,8))</f>
        <v>GLE</v>
      </c>
      <c r="E654" s="4" t="str">
        <f t="shared" ca="1" si="91"/>
        <v>SUV</v>
      </c>
      <c r="F654" s="4">
        <f t="shared" ca="1" si="92"/>
        <v>1</v>
      </c>
      <c r="G654" s="8">
        <f t="shared" ca="1" si="93"/>
        <v>11730760</v>
      </c>
      <c r="H654" s="8">
        <f t="shared" ca="1" si="94"/>
        <v>11730760</v>
      </c>
      <c r="I654" s="8">
        <f t="shared" ca="1" si="95"/>
        <v>8915377.5999999996</v>
      </c>
      <c r="J654" s="8">
        <f t="shared" ca="1" si="96"/>
        <v>2815382.4000000004</v>
      </c>
      <c r="K654" s="6">
        <f t="shared" ca="1" si="97"/>
        <v>0.24000000000000002</v>
      </c>
      <c r="L654" s="4" t="str" cm="1">
        <f t="array" aca="1" ref="L65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54" s="8">
        <f t="shared" ca="1" si="98"/>
        <v>3360</v>
      </c>
      <c r="N654" s="4" t="str" cm="1">
        <f t="array" aca="1" ref="N654" ca="1">INDEX({"New";"Repeat"}, RANDBETWEEN(1,2))</f>
        <v>Repeat</v>
      </c>
      <c r="O654" s="4" t="str" cm="1">
        <f t="array" aca="1" ref="O654" ca="1">INDEX({"Loan";"Cash";"Lease"}, RANDBETWEEN(1,3))</f>
        <v>Cash</v>
      </c>
    </row>
    <row r="655" spans="1:15" x14ac:dyDescent="0.2">
      <c r="A655" s="4">
        <v>653</v>
      </c>
      <c r="B655" s="5">
        <f t="shared" ca="1" si="90"/>
        <v>45308</v>
      </c>
      <c r="C655" s="4" t="str" cm="1">
        <f t="array" aca="1" ref="C655" ca="1">INDEX({"Cochin";"Delhi";"Mumbai";"Pune";"Bengaluru"}, RANDBETWEEN(1,5))</f>
        <v>Pune</v>
      </c>
      <c r="D655" s="4" t="str" cm="1">
        <f t="array" aca="1" ref="D655" ca="1">INDEX({"C-Class";"E-Class";"S-Class";"GLA";"GLC";"GLE";"GLS";"EQB"}, RANDBETWEEN(1,8))</f>
        <v>GLS</v>
      </c>
      <c r="E655" s="4" t="str">
        <f t="shared" ca="1" si="91"/>
        <v>SUV</v>
      </c>
      <c r="F655" s="4">
        <f t="shared" ca="1" si="92"/>
        <v>4</v>
      </c>
      <c r="G655" s="8">
        <f t="shared" ca="1" si="93"/>
        <v>13957877</v>
      </c>
      <c r="H655" s="8">
        <f t="shared" ca="1" si="94"/>
        <v>55831508</v>
      </c>
      <c r="I655" s="8">
        <f t="shared" ca="1" si="95"/>
        <v>43548576.240000002</v>
      </c>
      <c r="J655" s="8">
        <f t="shared" ca="1" si="96"/>
        <v>12282931.759999998</v>
      </c>
      <c r="K655" s="6">
        <f t="shared" ca="1" si="97"/>
        <v>0.21999999999999997</v>
      </c>
      <c r="L655" s="4" t="str" cm="1">
        <f t="array" aca="1" ref="L65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55" s="8">
        <f t="shared" ca="1" si="98"/>
        <v>10484</v>
      </c>
      <c r="N655" s="4" t="str" cm="1">
        <f t="array" aca="1" ref="N655" ca="1">INDEX({"New";"Repeat"}, RANDBETWEEN(1,2))</f>
        <v>New</v>
      </c>
      <c r="O655" s="4" t="str" cm="1">
        <f t="array" aca="1" ref="O655" ca="1">INDEX({"Loan";"Cash";"Lease"}, RANDBETWEEN(1,3))</f>
        <v>Cash</v>
      </c>
    </row>
    <row r="656" spans="1:15" x14ac:dyDescent="0.2">
      <c r="A656" s="4">
        <v>654</v>
      </c>
      <c r="B656" s="5">
        <f t="shared" ca="1" si="90"/>
        <v>44934</v>
      </c>
      <c r="C656" s="4" t="str" cm="1">
        <f t="array" aca="1" ref="C656" ca="1">INDEX({"Cochin";"Delhi";"Mumbai";"Pune";"Bengaluru"}, RANDBETWEEN(1,5))</f>
        <v>Delhi</v>
      </c>
      <c r="D656" s="4" t="str" cm="1">
        <f t="array" aca="1" ref="D656" ca="1">INDEX({"C-Class";"E-Class";"S-Class";"GLA";"GLC";"GLE";"GLS";"EQB"}, RANDBETWEEN(1,8))</f>
        <v>GLE</v>
      </c>
      <c r="E656" s="4" t="str">
        <f t="shared" ca="1" si="91"/>
        <v>SUV</v>
      </c>
      <c r="F656" s="4">
        <f t="shared" ca="1" si="92"/>
        <v>3</v>
      </c>
      <c r="G656" s="8">
        <f t="shared" ca="1" si="93"/>
        <v>10984431</v>
      </c>
      <c r="H656" s="8">
        <f t="shared" ca="1" si="94"/>
        <v>32953293</v>
      </c>
      <c r="I656" s="8">
        <f t="shared" ca="1" si="95"/>
        <v>28010299.050000001</v>
      </c>
      <c r="J656" s="8">
        <f t="shared" ca="1" si="96"/>
        <v>4942993.9499999993</v>
      </c>
      <c r="K656" s="6">
        <f t="shared" ca="1" si="97"/>
        <v>0.14999999999999997</v>
      </c>
      <c r="L656" s="4" t="str" cm="1">
        <f t="array" aca="1" ref="L656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56" s="8">
        <f t="shared" ca="1" si="98"/>
        <v>6774</v>
      </c>
      <c r="N656" s="4" t="str" cm="1">
        <f t="array" aca="1" ref="N656" ca="1">INDEX({"New";"Repeat"}, RANDBETWEEN(1,2))</f>
        <v>Repeat</v>
      </c>
      <c r="O656" s="4" t="str" cm="1">
        <f t="array" aca="1" ref="O656" ca="1">INDEX({"Loan";"Cash";"Lease"}, RANDBETWEEN(1,3))</f>
        <v>Loan</v>
      </c>
    </row>
    <row r="657" spans="1:15" x14ac:dyDescent="0.2">
      <c r="A657" s="4">
        <v>655</v>
      </c>
      <c r="B657" s="5">
        <f t="shared" ca="1" si="90"/>
        <v>45816</v>
      </c>
      <c r="C657" s="4" t="str" cm="1">
        <f t="array" aca="1" ref="C657" ca="1">INDEX({"Cochin";"Delhi";"Mumbai";"Pune";"Bengaluru"}, RANDBETWEEN(1,5))</f>
        <v>Delhi</v>
      </c>
      <c r="D657" s="4" t="str" cm="1">
        <f t="array" aca="1" ref="D657" ca="1">INDEX({"C-Class";"E-Class";"S-Class";"GLA";"GLC";"GLE";"GLS";"EQB"}, RANDBETWEEN(1,8))</f>
        <v>E-Class</v>
      </c>
      <c r="E657" s="4" t="str">
        <f t="shared" ca="1" si="91"/>
        <v>Sedan</v>
      </c>
      <c r="F657" s="4">
        <f t="shared" ca="1" si="92"/>
        <v>4</v>
      </c>
      <c r="G657" s="8">
        <f t="shared" ca="1" si="93"/>
        <v>8247070</v>
      </c>
      <c r="H657" s="8">
        <f t="shared" ca="1" si="94"/>
        <v>32988280</v>
      </c>
      <c r="I657" s="8">
        <f t="shared" ca="1" si="95"/>
        <v>25730858.399999999</v>
      </c>
      <c r="J657" s="8">
        <f t="shared" ca="1" si="96"/>
        <v>7257421.6000000015</v>
      </c>
      <c r="K657" s="6">
        <f t="shared" ca="1" si="97"/>
        <v>0.22000000000000006</v>
      </c>
      <c r="L657" s="4" t="str" cm="1">
        <f t="array" aca="1" ref="L657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57" s="8">
        <f t="shared" ca="1" si="98"/>
        <v>22961</v>
      </c>
      <c r="N657" s="4" t="str" cm="1">
        <f t="array" aca="1" ref="N657" ca="1">INDEX({"New";"Repeat"}, RANDBETWEEN(1,2))</f>
        <v>New</v>
      </c>
      <c r="O657" s="4" t="str" cm="1">
        <f t="array" aca="1" ref="O657" ca="1">INDEX({"Loan";"Cash";"Lease"}, RANDBETWEEN(1,3))</f>
        <v>Cash</v>
      </c>
    </row>
    <row r="658" spans="1:15" x14ac:dyDescent="0.2">
      <c r="A658" s="4">
        <v>656</v>
      </c>
      <c r="B658" s="5">
        <f t="shared" ca="1" si="90"/>
        <v>45504</v>
      </c>
      <c r="C658" s="4" t="str" cm="1">
        <f t="array" aca="1" ref="C658" ca="1">INDEX({"Cochin";"Delhi";"Mumbai";"Pune";"Bengaluru"}, RANDBETWEEN(1,5))</f>
        <v>Pune</v>
      </c>
      <c r="D658" s="4" t="str" cm="1">
        <f t="array" aca="1" ref="D658" ca="1">INDEX({"C-Class";"E-Class";"S-Class";"GLA";"GLC";"GLE";"GLS";"EQB"}, RANDBETWEEN(1,8))</f>
        <v>E-Class</v>
      </c>
      <c r="E658" s="4" t="str">
        <f t="shared" ca="1" si="91"/>
        <v>Sedan</v>
      </c>
      <c r="F658" s="4">
        <f t="shared" ca="1" si="92"/>
        <v>4</v>
      </c>
      <c r="G658" s="8">
        <f t="shared" ca="1" si="93"/>
        <v>8774858</v>
      </c>
      <c r="H658" s="8">
        <f t="shared" ca="1" si="94"/>
        <v>35099432</v>
      </c>
      <c r="I658" s="8">
        <f t="shared" ca="1" si="95"/>
        <v>25622585.359999999</v>
      </c>
      <c r="J658" s="8">
        <f t="shared" ca="1" si="96"/>
        <v>9476846.6400000006</v>
      </c>
      <c r="K658" s="6">
        <f t="shared" ca="1" si="97"/>
        <v>0.27</v>
      </c>
      <c r="L658" s="4" t="str" cm="1">
        <f t="array" aca="1" ref="L65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58" s="8">
        <f t="shared" ca="1" si="98"/>
        <v>10903</v>
      </c>
      <c r="N658" s="4" t="str" cm="1">
        <f t="array" aca="1" ref="N658" ca="1">INDEX({"New";"Repeat"}, RANDBETWEEN(1,2))</f>
        <v>New</v>
      </c>
      <c r="O658" s="4" t="str" cm="1">
        <f t="array" aca="1" ref="O658" ca="1">INDEX({"Loan";"Cash";"Lease"}, RANDBETWEEN(1,3))</f>
        <v>Loan</v>
      </c>
    </row>
    <row r="659" spans="1:15" x14ac:dyDescent="0.2">
      <c r="A659" s="4">
        <v>657</v>
      </c>
      <c r="B659" s="5">
        <f t="shared" ca="1" si="90"/>
        <v>45578</v>
      </c>
      <c r="C659" s="4" t="str" cm="1">
        <f t="array" aca="1" ref="C659" ca="1">INDEX({"Cochin";"Delhi";"Mumbai";"Pune";"Bengaluru"}, RANDBETWEEN(1,5))</f>
        <v>Pune</v>
      </c>
      <c r="D659" s="4" t="str" cm="1">
        <f t="array" aca="1" ref="D659" ca="1">INDEX({"C-Class";"E-Class";"S-Class";"GLA";"GLC";"GLE";"GLS";"EQB"}, RANDBETWEEN(1,8))</f>
        <v>GLC</v>
      </c>
      <c r="E659" s="4" t="str">
        <f t="shared" ca="1" si="91"/>
        <v>SUV</v>
      </c>
      <c r="F659" s="4">
        <f t="shared" ca="1" si="92"/>
        <v>2</v>
      </c>
      <c r="G659" s="8">
        <f t="shared" ca="1" si="93"/>
        <v>7470385</v>
      </c>
      <c r="H659" s="8">
        <f t="shared" ca="1" si="94"/>
        <v>14940770</v>
      </c>
      <c r="I659" s="8">
        <f t="shared" ca="1" si="95"/>
        <v>11952616</v>
      </c>
      <c r="J659" s="8">
        <f t="shared" ca="1" si="96"/>
        <v>2988154</v>
      </c>
      <c r="K659" s="6">
        <f t="shared" ca="1" si="97"/>
        <v>0.2</v>
      </c>
      <c r="L659" s="4" t="str" cm="1">
        <f t="array" aca="1" ref="L65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59" s="8">
        <f t="shared" ca="1" si="98"/>
        <v>3645</v>
      </c>
      <c r="N659" s="4" t="str" cm="1">
        <f t="array" aca="1" ref="N659" ca="1">INDEX({"New";"Repeat"}, RANDBETWEEN(1,2))</f>
        <v>Repeat</v>
      </c>
      <c r="O659" s="4" t="str" cm="1">
        <f t="array" aca="1" ref="O659" ca="1">INDEX({"Loan";"Cash";"Lease"}, RANDBETWEEN(1,3))</f>
        <v>Loan</v>
      </c>
    </row>
    <row r="660" spans="1:15" x14ac:dyDescent="0.2">
      <c r="A660" s="4">
        <v>658</v>
      </c>
      <c r="B660" s="5">
        <f t="shared" ca="1" si="90"/>
        <v>45333</v>
      </c>
      <c r="C660" s="4" t="str" cm="1">
        <f t="array" aca="1" ref="C660" ca="1">INDEX({"Cochin";"Delhi";"Mumbai";"Pune";"Bengaluru"}, RANDBETWEEN(1,5))</f>
        <v>Mumbai</v>
      </c>
      <c r="D660" s="4" t="str" cm="1">
        <f t="array" aca="1" ref="D660" ca="1">INDEX({"C-Class";"E-Class";"S-Class";"GLA";"GLC";"GLE";"GLS";"EQB"}, RANDBETWEEN(1,8))</f>
        <v>S-Class</v>
      </c>
      <c r="E660" s="4" t="str">
        <f t="shared" ca="1" si="91"/>
        <v>Sedan</v>
      </c>
      <c r="F660" s="4">
        <f t="shared" ca="1" si="92"/>
        <v>1</v>
      </c>
      <c r="G660" s="8">
        <f t="shared" ca="1" si="93"/>
        <v>17359587</v>
      </c>
      <c r="H660" s="8">
        <f t="shared" ca="1" si="94"/>
        <v>17359587</v>
      </c>
      <c r="I660" s="8">
        <f t="shared" ca="1" si="95"/>
        <v>13019690.25</v>
      </c>
      <c r="J660" s="8">
        <f t="shared" ca="1" si="96"/>
        <v>4339896.75</v>
      </c>
      <c r="K660" s="6">
        <f t="shared" ca="1" si="97"/>
        <v>0.25</v>
      </c>
      <c r="L660" s="4" t="str" cm="1">
        <f t="array" aca="1" ref="L66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60" s="8">
        <f t="shared" ca="1" si="98"/>
        <v>23187</v>
      </c>
      <c r="N660" s="4" t="str" cm="1">
        <f t="array" aca="1" ref="N660" ca="1">INDEX({"New";"Repeat"}, RANDBETWEEN(1,2))</f>
        <v>New</v>
      </c>
      <c r="O660" s="4" t="str" cm="1">
        <f t="array" aca="1" ref="O660" ca="1">INDEX({"Loan";"Cash";"Lease"}, RANDBETWEEN(1,3))</f>
        <v>Cash</v>
      </c>
    </row>
    <row r="661" spans="1:15" x14ac:dyDescent="0.2">
      <c r="A661" s="4">
        <v>659</v>
      </c>
      <c r="B661" s="5">
        <f t="shared" ca="1" si="90"/>
        <v>44974</v>
      </c>
      <c r="C661" s="4" t="str" cm="1">
        <f t="array" aca="1" ref="C661" ca="1">INDEX({"Cochin";"Delhi";"Mumbai";"Pune";"Bengaluru"}, RANDBETWEEN(1,5))</f>
        <v>Pune</v>
      </c>
      <c r="D661" s="4" t="str" cm="1">
        <f t="array" aca="1" ref="D661" ca="1">INDEX({"C-Class";"E-Class";"S-Class";"GLA";"GLC";"GLE";"GLS";"EQB"}, RANDBETWEEN(1,8))</f>
        <v>GLS</v>
      </c>
      <c r="E661" s="4" t="str">
        <f t="shared" ca="1" si="91"/>
        <v>SUV</v>
      </c>
      <c r="F661" s="4">
        <f t="shared" ca="1" si="92"/>
        <v>4</v>
      </c>
      <c r="G661" s="8">
        <f t="shared" ca="1" si="93"/>
        <v>16829867</v>
      </c>
      <c r="H661" s="8">
        <f t="shared" ca="1" si="94"/>
        <v>67319468</v>
      </c>
      <c r="I661" s="8">
        <f t="shared" ca="1" si="95"/>
        <v>49816406.32</v>
      </c>
      <c r="J661" s="8">
        <f t="shared" ca="1" si="96"/>
        <v>17503061.68</v>
      </c>
      <c r="K661" s="6">
        <f t="shared" ca="1" si="97"/>
        <v>0.26</v>
      </c>
      <c r="L661" s="4" t="str" cm="1">
        <f t="array" aca="1" ref="L66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661" s="8">
        <f t="shared" ca="1" si="98"/>
        <v>19523</v>
      </c>
      <c r="N661" s="4" t="str" cm="1">
        <f t="array" aca="1" ref="N661" ca="1">INDEX({"New";"Repeat"}, RANDBETWEEN(1,2))</f>
        <v>New</v>
      </c>
      <c r="O661" s="4" t="str" cm="1">
        <f t="array" aca="1" ref="O661" ca="1">INDEX({"Loan";"Cash";"Lease"}, RANDBETWEEN(1,3))</f>
        <v>Loan</v>
      </c>
    </row>
    <row r="662" spans="1:15" x14ac:dyDescent="0.2">
      <c r="A662" s="4">
        <v>660</v>
      </c>
      <c r="B662" s="5">
        <f t="shared" ca="1" si="90"/>
        <v>45421</v>
      </c>
      <c r="C662" s="4" t="str" cm="1">
        <f t="array" aca="1" ref="C662" ca="1">INDEX({"Cochin";"Delhi";"Mumbai";"Pune";"Bengaluru"}, RANDBETWEEN(1,5))</f>
        <v>Delhi</v>
      </c>
      <c r="D662" s="4" t="str" cm="1">
        <f t="array" aca="1" ref="D662" ca="1">INDEX({"C-Class";"E-Class";"S-Class";"GLA";"GLC";"GLE";"GLS";"EQB"}, RANDBETWEEN(1,8))</f>
        <v>GLE</v>
      </c>
      <c r="E662" s="4" t="str">
        <f t="shared" ca="1" si="91"/>
        <v>SUV</v>
      </c>
      <c r="F662" s="4">
        <f t="shared" ca="1" si="92"/>
        <v>3</v>
      </c>
      <c r="G662" s="8">
        <f t="shared" ca="1" si="93"/>
        <v>11059361</v>
      </c>
      <c r="H662" s="8">
        <f t="shared" ca="1" si="94"/>
        <v>33178083</v>
      </c>
      <c r="I662" s="8">
        <f t="shared" ca="1" si="95"/>
        <v>25215343.079999998</v>
      </c>
      <c r="J662" s="8">
        <f t="shared" ca="1" si="96"/>
        <v>7962739.9200000018</v>
      </c>
      <c r="K662" s="6">
        <f t="shared" ca="1" si="97"/>
        <v>0.24000000000000005</v>
      </c>
      <c r="L662" s="4" t="str" cm="1">
        <f t="array" aca="1" ref="L662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62" s="8">
        <f t="shared" ca="1" si="98"/>
        <v>4893</v>
      </c>
      <c r="N662" s="4" t="str" cm="1">
        <f t="array" aca="1" ref="N662" ca="1">INDEX({"New";"Repeat"}, RANDBETWEEN(1,2))</f>
        <v>Repeat</v>
      </c>
      <c r="O662" s="4" t="str" cm="1">
        <f t="array" aca="1" ref="O662" ca="1">INDEX({"Loan";"Cash";"Lease"}, RANDBETWEEN(1,3))</f>
        <v>Loan</v>
      </c>
    </row>
    <row r="663" spans="1:15" x14ac:dyDescent="0.2">
      <c r="A663" s="4">
        <v>661</v>
      </c>
      <c r="B663" s="5">
        <f t="shared" ca="1" si="90"/>
        <v>44966</v>
      </c>
      <c r="C663" s="4" t="str" cm="1">
        <f t="array" aca="1" ref="C663" ca="1">INDEX({"Cochin";"Delhi";"Mumbai";"Pune";"Bengaluru"}, RANDBETWEEN(1,5))</f>
        <v>Cochin</v>
      </c>
      <c r="D663" s="4" t="str" cm="1">
        <f t="array" aca="1" ref="D663" ca="1">INDEX({"C-Class";"E-Class";"S-Class";"GLA";"GLC";"GLE";"GLS";"EQB"}, RANDBETWEEN(1,8))</f>
        <v>GLS</v>
      </c>
      <c r="E663" s="4" t="str">
        <f t="shared" ca="1" si="91"/>
        <v>SUV</v>
      </c>
      <c r="F663" s="4">
        <f t="shared" ca="1" si="92"/>
        <v>2</v>
      </c>
      <c r="G663" s="8">
        <f t="shared" ca="1" si="93"/>
        <v>13120063</v>
      </c>
      <c r="H663" s="8">
        <f t="shared" ca="1" si="94"/>
        <v>26240126</v>
      </c>
      <c r="I663" s="8">
        <f t="shared" ca="1" si="95"/>
        <v>20467298.280000001</v>
      </c>
      <c r="J663" s="8">
        <f t="shared" ca="1" si="96"/>
        <v>5772827.7199999988</v>
      </c>
      <c r="K663" s="6">
        <f t="shared" ca="1" si="97"/>
        <v>0.21999999999999995</v>
      </c>
      <c r="L663" s="4" t="str" cm="1">
        <f t="array" aca="1" ref="L66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63" s="8">
        <f t="shared" ca="1" si="98"/>
        <v>7934</v>
      </c>
      <c r="N663" s="4" t="str" cm="1">
        <f t="array" aca="1" ref="N663" ca="1">INDEX({"New";"Repeat"}, RANDBETWEEN(1,2))</f>
        <v>Repeat</v>
      </c>
      <c r="O663" s="4" t="str" cm="1">
        <f t="array" aca="1" ref="O663" ca="1">INDEX({"Loan";"Cash";"Lease"}, RANDBETWEEN(1,3))</f>
        <v>Cash</v>
      </c>
    </row>
    <row r="664" spans="1:15" x14ac:dyDescent="0.2">
      <c r="A664" s="4">
        <v>662</v>
      </c>
      <c r="B664" s="5">
        <f t="shared" ca="1" si="90"/>
        <v>45115</v>
      </c>
      <c r="C664" s="4" t="str" cm="1">
        <f t="array" aca="1" ref="C664" ca="1">INDEX({"Cochin";"Delhi";"Mumbai";"Pune";"Bengaluru"}, RANDBETWEEN(1,5))</f>
        <v>Mumbai</v>
      </c>
      <c r="D664" s="4" t="str" cm="1">
        <f t="array" aca="1" ref="D664" ca="1">INDEX({"C-Class";"E-Class";"S-Class";"GLA";"GLC";"GLE";"GLS";"EQB"}, RANDBETWEEN(1,8))</f>
        <v>S-Class</v>
      </c>
      <c r="E664" s="4" t="str">
        <f t="shared" ca="1" si="91"/>
        <v>Sedan</v>
      </c>
      <c r="F664" s="4">
        <f t="shared" ca="1" si="92"/>
        <v>4</v>
      </c>
      <c r="G664" s="8">
        <f t="shared" ca="1" si="93"/>
        <v>15139788</v>
      </c>
      <c r="H664" s="8">
        <f t="shared" ca="1" si="94"/>
        <v>60559152</v>
      </c>
      <c r="I664" s="8">
        <f t="shared" ca="1" si="95"/>
        <v>45419364</v>
      </c>
      <c r="J664" s="8">
        <f t="shared" ca="1" si="96"/>
        <v>15139788</v>
      </c>
      <c r="K664" s="6">
        <f t="shared" ca="1" si="97"/>
        <v>0.25</v>
      </c>
      <c r="L664" s="4" t="str" cm="1">
        <f t="array" aca="1" ref="L66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664" s="8">
        <f t="shared" ca="1" si="98"/>
        <v>23792</v>
      </c>
      <c r="N664" s="4" t="str" cm="1">
        <f t="array" aca="1" ref="N664" ca="1">INDEX({"New";"Repeat"}, RANDBETWEEN(1,2))</f>
        <v>New</v>
      </c>
      <c r="O664" s="4" t="str" cm="1">
        <f t="array" aca="1" ref="O664" ca="1">INDEX({"Loan";"Cash";"Lease"}, RANDBETWEEN(1,3))</f>
        <v>Cash</v>
      </c>
    </row>
    <row r="665" spans="1:15" x14ac:dyDescent="0.2">
      <c r="A665" s="4">
        <v>663</v>
      </c>
      <c r="B665" s="5">
        <f t="shared" ca="1" si="90"/>
        <v>45550</v>
      </c>
      <c r="C665" s="4" t="str" cm="1">
        <f t="array" aca="1" ref="C665" ca="1">INDEX({"Cochin";"Delhi";"Mumbai";"Pune";"Bengaluru"}, RANDBETWEEN(1,5))</f>
        <v>Bengaluru</v>
      </c>
      <c r="D665" s="4" t="str" cm="1">
        <f t="array" aca="1" ref="D665" ca="1">INDEX({"C-Class";"E-Class";"S-Class";"GLA";"GLC";"GLE";"GLS";"EQB"}, RANDBETWEEN(1,8))</f>
        <v>GLA</v>
      </c>
      <c r="E665" s="4" t="str">
        <f t="shared" ca="1" si="91"/>
        <v>SUV</v>
      </c>
      <c r="F665" s="4">
        <f t="shared" ca="1" si="92"/>
        <v>4</v>
      </c>
      <c r="G665" s="8">
        <f t="shared" ca="1" si="93"/>
        <v>4751776</v>
      </c>
      <c r="H665" s="8">
        <f t="shared" ca="1" si="94"/>
        <v>19007104</v>
      </c>
      <c r="I665" s="8">
        <f t="shared" ca="1" si="95"/>
        <v>16156038.4</v>
      </c>
      <c r="J665" s="8">
        <f t="shared" ca="1" si="96"/>
        <v>2851065.5999999996</v>
      </c>
      <c r="K665" s="6">
        <f t="shared" ca="1" si="97"/>
        <v>0.14999999999999997</v>
      </c>
      <c r="L665" s="4" t="str" cm="1">
        <f t="array" aca="1" ref="L66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65" s="8">
        <f t="shared" ca="1" si="98"/>
        <v>10679</v>
      </c>
      <c r="N665" s="4" t="str" cm="1">
        <f t="array" aca="1" ref="N665" ca="1">INDEX({"New";"Repeat"}, RANDBETWEEN(1,2))</f>
        <v>New</v>
      </c>
      <c r="O665" s="4" t="str" cm="1">
        <f t="array" aca="1" ref="O665" ca="1">INDEX({"Loan";"Cash";"Lease"}, RANDBETWEEN(1,3))</f>
        <v>Cash</v>
      </c>
    </row>
    <row r="666" spans="1:15" x14ac:dyDescent="0.2">
      <c r="A666" s="4">
        <v>664</v>
      </c>
      <c r="B666" s="5">
        <f t="shared" ca="1" si="90"/>
        <v>45728</v>
      </c>
      <c r="C666" s="4" t="str" cm="1">
        <f t="array" aca="1" ref="C666" ca="1">INDEX({"Cochin";"Delhi";"Mumbai";"Pune";"Bengaluru"}, RANDBETWEEN(1,5))</f>
        <v>Bengaluru</v>
      </c>
      <c r="D666" s="4" t="str" cm="1">
        <f t="array" aca="1" ref="D666" ca="1">INDEX({"C-Class";"E-Class";"S-Class";"GLA";"GLC";"GLE";"GLS";"EQB"}, RANDBETWEEN(1,8))</f>
        <v>GLS</v>
      </c>
      <c r="E666" s="4" t="str">
        <f t="shared" ca="1" si="91"/>
        <v>SUV</v>
      </c>
      <c r="F666" s="4">
        <f t="shared" ca="1" si="92"/>
        <v>3</v>
      </c>
      <c r="G666" s="8">
        <f t="shared" ca="1" si="93"/>
        <v>14980463</v>
      </c>
      <c r="H666" s="8">
        <f t="shared" ca="1" si="94"/>
        <v>44941389</v>
      </c>
      <c r="I666" s="8">
        <f t="shared" ca="1" si="95"/>
        <v>36402525.090000004</v>
      </c>
      <c r="J666" s="8">
        <f t="shared" ca="1" si="96"/>
        <v>8538863.9099999964</v>
      </c>
      <c r="K666" s="6">
        <f t="shared" ca="1" si="97"/>
        <v>0.18999999999999992</v>
      </c>
      <c r="L666" s="4" t="str" cm="1">
        <f t="array" aca="1" ref="L66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66" s="8">
        <f t="shared" ca="1" si="98"/>
        <v>4093</v>
      </c>
      <c r="N666" s="4" t="str" cm="1">
        <f t="array" aca="1" ref="N666" ca="1">INDEX({"New";"Repeat"}, RANDBETWEEN(1,2))</f>
        <v>Repeat</v>
      </c>
      <c r="O666" s="4" t="str" cm="1">
        <f t="array" aca="1" ref="O666" ca="1">INDEX({"Loan";"Cash";"Lease"}, RANDBETWEEN(1,3))</f>
        <v>Loan</v>
      </c>
    </row>
    <row r="667" spans="1:15" x14ac:dyDescent="0.2">
      <c r="A667" s="4">
        <v>665</v>
      </c>
      <c r="B667" s="5">
        <f t="shared" ca="1" si="90"/>
        <v>45863</v>
      </c>
      <c r="C667" s="4" t="str" cm="1">
        <f t="array" aca="1" ref="C667" ca="1">INDEX({"Cochin";"Delhi";"Mumbai";"Pune";"Bengaluru"}, RANDBETWEEN(1,5))</f>
        <v>Delhi</v>
      </c>
      <c r="D667" s="4" t="str" cm="1">
        <f t="array" aca="1" ref="D667" ca="1">INDEX({"C-Class";"E-Class";"S-Class";"GLA";"GLC";"GLE";"GLS";"EQB"}, RANDBETWEEN(1,8))</f>
        <v>GLA</v>
      </c>
      <c r="E667" s="4" t="str">
        <f t="shared" ca="1" si="91"/>
        <v>SUV</v>
      </c>
      <c r="F667" s="4">
        <f t="shared" ca="1" si="92"/>
        <v>2</v>
      </c>
      <c r="G667" s="8">
        <f t="shared" ca="1" si="93"/>
        <v>4524702</v>
      </c>
      <c r="H667" s="8">
        <f t="shared" ca="1" si="94"/>
        <v>9049404</v>
      </c>
      <c r="I667" s="8">
        <f t="shared" ca="1" si="95"/>
        <v>7149029.1600000001</v>
      </c>
      <c r="J667" s="8">
        <f t="shared" ca="1" si="96"/>
        <v>1900374.8399999999</v>
      </c>
      <c r="K667" s="6">
        <f t="shared" ca="1" si="97"/>
        <v>0.21</v>
      </c>
      <c r="L667" s="4" t="str" cm="1">
        <f t="array" aca="1" ref="L66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67" s="8">
        <f t="shared" ca="1" si="98"/>
        <v>10408</v>
      </c>
      <c r="N667" s="4" t="str" cm="1">
        <f t="array" aca="1" ref="N667" ca="1">INDEX({"New";"Repeat"}, RANDBETWEEN(1,2))</f>
        <v>New</v>
      </c>
      <c r="O667" s="4" t="str" cm="1">
        <f t="array" aca="1" ref="O667" ca="1">INDEX({"Loan";"Cash";"Lease"}, RANDBETWEEN(1,3))</f>
        <v>Loan</v>
      </c>
    </row>
    <row r="668" spans="1:15" x14ac:dyDescent="0.2">
      <c r="A668" s="4">
        <v>666</v>
      </c>
      <c r="B668" s="5">
        <f t="shared" ca="1" si="90"/>
        <v>45507</v>
      </c>
      <c r="C668" s="4" t="str" cm="1">
        <f t="array" aca="1" ref="C668" ca="1">INDEX({"Cochin";"Delhi";"Mumbai";"Pune";"Bengaluru"}, RANDBETWEEN(1,5))</f>
        <v>Bengaluru</v>
      </c>
      <c r="D668" s="4" t="str" cm="1">
        <f t="array" aca="1" ref="D668" ca="1">INDEX({"C-Class";"E-Class";"S-Class";"GLA";"GLC";"GLE";"GLS";"EQB"}, RANDBETWEEN(1,8))</f>
        <v>E-Class</v>
      </c>
      <c r="E668" s="4" t="str">
        <f t="shared" ca="1" si="91"/>
        <v>Sedan</v>
      </c>
      <c r="F668" s="4">
        <f t="shared" ca="1" si="92"/>
        <v>2</v>
      </c>
      <c r="G668" s="8">
        <f t="shared" ca="1" si="93"/>
        <v>8744455</v>
      </c>
      <c r="H668" s="8">
        <f t="shared" ca="1" si="94"/>
        <v>17488910</v>
      </c>
      <c r="I668" s="8">
        <f t="shared" ca="1" si="95"/>
        <v>14340906.199999999</v>
      </c>
      <c r="J668" s="8">
        <f t="shared" ca="1" si="96"/>
        <v>3148003.8000000007</v>
      </c>
      <c r="K668" s="6">
        <f t="shared" ca="1" si="97"/>
        <v>0.18000000000000005</v>
      </c>
      <c r="L668" s="4" t="str" cm="1">
        <f t="array" aca="1" ref="L66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668" s="8">
        <f t="shared" ca="1" si="98"/>
        <v>7974</v>
      </c>
      <c r="N668" s="4" t="str" cm="1">
        <f t="array" aca="1" ref="N668" ca="1">INDEX({"New";"Repeat"}, RANDBETWEEN(1,2))</f>
        <v>Repeat</v>
      </c>
      <c r="O668" s="4" t="str" cm="1">
        <f t="array" aca="1" ref="O668" ca="1">INDEX({"Loan";"Cash";"Lease"}, RANDBETWEEN(1,3))</f>
        <v>Lease</v>
      </c>
    </row>
    <row r="669" spans="1:15" x14ac:dyDescent="0.2">
      <c r="A669" s="4">
        <v>667</v>
      </c>
      <c r="B669" s="5">
        <f t="shared" ca="1" si="90"/>
        <v>45559</v>
      </c>
      <c r="C669" s="4" t="str" cm="1">
        <f t="array" aca="1" ref="C669" ca="1">INDEX({"Cochin";"Delhi";"Mumbai";"Pune";"Bengaluru"}, RANDBETWEEN(1,5))</f>
        <v>Bengaluru</v>
      </c>
      <c r="D669" s="4" t="str" cm="1">
        <f t="array" aca="1" ref="D669" ca="1">INDEX({"C-Class";"E-Class";"S-Class";"GLA";"GLC";"GLE";"GLS";"EQB"}, RANDBETWEEN(1,8))</f>
        <v>C-Class</v>
      </c>
      <c r="E669" s="4" t="str">
        <f t="shared" ca="1" si="91"/>
        <v>Sedan</v>
      </c>
      <c r="F669" s="4">
        <f t="shared" ca="1" si="92"/>
        <v>4</v>
      </c>
      <c r="G669" s="8">
        <f t="shared" ca="1" si="93"/>
        <v>6005105</v>
      </c>
      <c r="H669" s="8">
        <f t="shared" ca="1" si="94"/>
        <v>24020420</v>
      </c>
      <c r="I669" s="8">
        <f t="shared" ca="1" si="95"/>
        <v>18255519.199999999</v>
      </c>
      <c r="J669" s="8">
        <f t="shared" ca="1" si="96"/>
        <v>5764900.8000000007</v>
      </c>
      <c r="K669" s="6">
        <f t="shared" ca="1" si="97"/>
        <v>0.24000000000000002</v>
      </c>
      <c r="L669" s="4" t="str" cm="1">
        <f t="array" aca="1" ref="L66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669" s="8">
        <f t="shared" ca="1" si="98"/>
        <v>20280</v>
      </c>
      <c r="N669" s="4" t="str" cm="1">
        <f t="array" aca="1" ref="N669" ca="1">INDEX({"New";"Repeat"}, RANDBETWEEN(1,2))</f>
        <v>New</v>
      </c>
      <c r="O669" s="4" t="str" cm="1">
        <f t="array" aca="1" ref="O669" ca="1">INDEX({"Loan";"Cash";"Lease"}, RANDBETWEEN(1,3))</f>
        <v>Cash</v>
      </c>
    </row>
    <row r="670" spans="1:15" x14ac:dyDescent="0.2">
      <c r="A670" s="4">
        <v>668</v>
      </c>
      <c r="B670" s="5">
        <f t="shared" ca="1" si="90"/>
        <v>45696</v>
      </c>
      <c r="C670" s="4" t="str" cm="1">
        <f t="array" aca="1" ref="C670" ca="1">INDEX({"Cochin";"Delhi";"Mumbai";"Pune";"Bengaluru"}, RANDBETWEEN(1,5))</f>
        <v>Delhi</v>
      </c>
      <c r="D670" s="4" t="str" cm="1">
        <f t="array" aca="1" ref="D670" ca="1">INDEX({"C-Class";"E-Class";"S-Class";"GLA";"GLC";"GLE";"GLS";"EQB"}, RANDBETWEEN(1,8))</f>
        <v>GLS</v>
      </c>
      <c r="E670" s="4" t="str">
        <f t="shared" ca="1" si="91"/>
        <v>SUV</v>
      </c>
      <c r="F670" s="4">
        <f t="shared" ca="1" si="92"/>
        <v>1</v>
      </c>
      <c r="G670" s="8">
        <f t="shared" ca="1" si="93"/>
        <v>17144121</v>
      </c>
      <c r="H670" s="8">
        <f t="shared" ca="1" si="94"/>
        <v>17144121</v>
      </c>
      <c r="I670" s="8">
        <f t="shared" ca="1" si="95"/>
        <v>13372414.380000001</v>
      </c>
      <c r="J670" s="8">
        <f t="shared" ca="1" si="96"/>
        <v>3771706.6199999992</v>
      </c>
      <c r="K670" s="6">
        <f t="shared" ca="1" si="97"/>
        <v>0.21999999999999995</v>
      </c>
      <c r="L670" s="4" t="str" cm="1">
        <f t="array" aca="1" ref="L67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670" s="8">
        <f t="shared" ca="1" si="98"/>
        <v>7969</v>
      </c>
      <c r="N670" s="4" t="str" cm="1">
        <f t="array" aca="1" ref="N670" ca="1">INDEX({"New";"Repeat"}, RANDBETWEEN(1,2))</f>
        <v>Repeat</v>
      </c>
      <c r="O670" s="4" t="str" cm="1">
        <f t="array" aca="1" ref="O670" ca="1">INDEX({"Loan";"Cash";"Lease"}, RANDBETWEEN(1,3))</f>
        <v>Loan</v>
      </c>
    </row>
    <row r="671" spans="1:15" x14ac:dyDescent="0.2">
      <c r="A671" s="4">
        <v>669</v>
      </c>
      <c r="B671" s="5">
        <f t="shared" ca="1" si="90"/>
        <v>45873</v>
      </c>
      <c r="C671" s="4" t="str" cm="1">
        <f t="array" aca="1" ref="C671" ca="1">INDEX({"Cochin";"Delhi";"Mumbai";"Pune";"Bengaluru"}, RANDBETWEEN(1,5))</f>
        <v>Bengaluru</v>
      </c>
      <c r="D671" s="4" t="str" cm="1">
        <f t="array" aca="1" ref="D671" ca="1">INDEX({"C-Class";"E-Class";"S-Class";"GLA";"GLC";"GLE";"GLS";"EQB"}, RANDBETWEEN(1,8))</f>
        <v>GLA</v>
      </c>
      <c r="E671" s="4" t="str">
        <f t="shared" ca="1" si="91"/>
        <v>SUV</v>
      </c>
      <c r="F671" s="4">
        <f t="shared" ca="1" si="92"/>
        <v>4</v>
      </c>
      <c r="G671" s="8">
        <f t="shared" ca="1" si="93"/>
        <v>5404204</v>
      </c>
      <c r="H671" s="8">
        <f t="shared" ca="1" si="94"/>
        <v>21616816</v>
      </c>
      <c r="I671" s="8">
        <f t="shared" ca="1" si="95"/>
        <v>15564107.52</v>
      </c>
      <c r="J671" s="8">
        <f t="shared" ca="1" si="96"/>
        <v>6052708.4800000004</v>
      </c>
      <c r="K671" s="6">
        <f t="shared" ca="1" si="97"/>
        <v>0.28000000000000003</v>
      </c>
      <c r="L671" s="4" t="str" cm="1">
        <f t="array" aca="1" ref="L67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71" s="8">
        <f t="shared" ca="1" si="98"/>
        <v>21395</v>
      </c>
      <c r="N671" s="4" t="str" cm="1">
        <f t="array" aca="1" ref="N671" ca="1">INDEX({"New";"Repeat"}, RANDBETWEEN(1,2))</f>
        <v>New</v>
      </c>
      <c r="O671" s="4" t="str" cm="1">
        <f t="array" aca="1" ref="O671" ca="1">INDEX({"Loan";"Cash";"Lease"}, RANDBETWEEN(1,3))</f>
        <v>Lease</v>
      </c>
    </row>
    <row r="672" spans="1:15" x14ac:dyDescent="0.2">
      <c r="A672" s="4">
        <v>670</v>
      </c>
      <c r="B672" s="5">
        <f t="shared" ca="1" si="90"/>
        <v>45206</v>
      </c>
      <c r="C672" s="4" t="str" cm="1">
        <f t="array" aca="1" ref="C672" ca="1">INDEX({"Cochin";"Delhi";"Mumbai";"Pune";"Bengaluru"}, RANDBETWEEN(1,5))</f>
        <v>Mumbai</v>
      </c>
      <c r="D672" s="4" t="str" cm="1">
        <f t="array" aca="1" ref="D672" ca="1">INDEX({"C-Class";"E-Class";"S-Class";"GLA";"GLC";"GLE";"GLS";"EQB"}, RANDBETWEEN(1,8))</f>
        <v>S-Class</v>
      </c>
      <c r="E672" s="4" t="str">
        <f t="shared" ca="1" si="91"/>
        <v>Sedan</v>
      </c>
      <c r="F672" s="4">
        <f t="shared" ca="1" si="92"/>
        <v>1</v>
      </c>
      <c r="G672" s="8">
        <f t="shared" ca="1" si="93"/>
        <v>19317932</v>
      </c>
      <c r="H672" s="8">
        <f t="shared" ca="1" si="94"/>
        <v>19317932</v>
      </c>
      <c r="I672" s="8">
        <f t="shared" ca="1" si="95"/>
        <v>16420242.199999999</v>
      </c>
      <c r="J672" s="8">
        <f t="shared" ca="1" si="96"/>
        <v>2897689.8000000007</v>
      </c>
      <c r="K672" s="6">
        <f t="shared" ca="1" si="97"/>
        <v>0.15000000000000005</v>
      </c>
      <c r="L672" s="4" t="str" cm="1">
        <f t="array" aca="1" ref="L672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72" s="8">
        <f t="shared" ca="1" si="98"/>
        <v>23053</v>
      </c>
      <c r="N672" s="4" t="str" cm="1">
        <f t="array" aca="1" ref="N672" ca="1">INDEX({"New";"Repeat"}, RANDBETWEEN(1,2))</f>
        <v>New</v>
      </c>
      <c r="O672" s="4" t="str" cm="1">
        <f t="array" aca="1" ref="O672" ca="1">INDEX({"Loan";"Cash";"Lease"}, RANDBETWEEN(1,3))</f>
        <v>Cash</v>
      </c>
    </row>
    <row r="673" spans="1:15" x14ac:dyDescent="0.2">
      <c r="A673" s="4">
        <v>671</v>
      </c>
      <c r="B673" s="5">
        <f t="shared" ca="1" si="90"/>
        <v>45290</v>
      </c>
      <c r="C673" s="4" t="str" cm="1">
        <f t="array" aca="1" ref="C673" ca="1">INDEX({"Cochin";"Delhi";"Mumbai";"Pune";"Bengaluru"}, RANDBETWEEN(1,5))</f>
        <v>Bengaluru</v>
      </c>
      <c r="D673" s="4" t="str" cm="1">
        <f t="array" aca="1" ref="D673" ca="1">INDEX({"C-Class";"E-Class";"S-Class";"GLA";"GLC";"GLE";"GLS";"EQB"}, RANDBETWEEN(1,8))</f>
        <v>C-Class</v>
      </c>
      <c r="E673" s="4" t="str">
        <f t="shared" ca="1" si="91"/>
        <v>Sedan</v>
      </c>
      <c r="F673" s="4">
        <f t="shared" ca="1" si="92"/>
        <v>3</v>
      </c>
      <c r="G673" s="8">
        <f t="shared" ca="1" si="93"/>
        <v>6931478</v>
      </c>
      <c r="H673" s="8">
        <f t="shared" ca="1" si="94"/>
        <v>20794434</v>
      </c>
      <c r="I673" s="8">
        <f t="shared" ca="1" si="95"/>
        <v>16011714.18</v>
      </c>
      <c r="J673" s="8">
        <f t="shared" ca="1" si="96"/>
        <v>4782719.82</v>
      </c>
      <c r="K673" s="6">
        <f t="shared" ca="1" si="97"/>
        <v>0.23</v>
      </c>
      <c r="L673" s="4" t="str" cm="1">
        <f t="array" aca="1" ref="L67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73" s="8">
        <f t="shared" ca="1" si="98"/>
        <v>14879</v>
      </c>
      <c r="N673" s="4" t="str" cm="1">
        <f t="array" aca="1" ref="N673" ca="1">INDEX({"New";"Repeat"}, RANDBETWEEN(1,2))</f>
        <v>New</v>
      </c>
      <c r="O673" s="4" t="str" cm="1">
        <f t="array" aca="1" ref="O673" ca="1">INDEX({"Loan";"Cash";"Lease"}, RANDBETWEEN(1,3))</f>
        <v>Lease</v>
      </c>
    </row>
    <row r="674" spans="1:15" x14ac:dyDescent="0.2">
      <c r="A674" s="4">
        <v>672</v>
      </c>
      <c r="B674" s="5">
        <f t="shared" ca="1" si="90"/>
        <v>45694</v>
      </c>
      <c r="C674" s="4" t="str" cm="1">
        <f t="array" aca="1" ref="C674" ca="1">INDEX({"Cochin";"Delhi";"Mumbai";"Pune";"Bengaluru"}, RANDBETWEEN(1,5))</f>
        <v>Mumbai</v>
      </c>
      <c r="D674" s="4" t="str" cm="1">
        <f t="array" aca="1" ref="D674" ca="1">INDEX({"C-Class";"E-Class";"S-Class";"GLA";"GLC";"GLE";"GLS";"EQB"}, RANDBETWEEN(1,8))</f>
        <v>EQB</v>
      </c>
      <c r="E674" s="4" t="str">
        <f t="shared" ca="1" si="91"/>
        <v>EV</v>
      </c>
      <c r="F674" s="4">
        <f t="shared" ca="1" si="92"/>
        <v>3</v>
      </c>
      <c r="G674" s="8">
        <f t="shared" ca="1" si="93"/>
        <v>7227904</v>
      </c>
      <c r="H674" s="8">
        <f t="shared" ca="1" si="94"/>
        <v>21683712</v>
      </c>
      <c r="I674" s="8">
        <f t="shared" ca="1" si="95"/>
        <v>15612272.640000001</v>
      </c>
      <c r="J674" s="8">
        <f t="shared" ca="1" si="96"/>
        <v>6071439.3599999994</v>
      </c>
      <c r="K674" s="6">
        <f t="shared" ca="1" si="97"/>
        <v>0.27999999999999997</v>
      </c>
      <c r="L674" s="4" t="str" cm="1">
        <f t="array" aca="1" ref="L674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74" s="8">
        <f t="shared" ca="1" si="98"/>
        <v>22677</v>
      </c>
      <c r="N674" s="4" t="str" cm="1">
        <f t="array" aca="1" ref="N674" ca="1">INDEX({"New";"Repeat"}, RANDBETWEEN(1,2))</f>
        <v>New</v>
      </c>
      <c r="O674" s="4" t="str" cm="1">
        <f t="array" aca="1" ref="O674" ca="1">INDEX({"Loan";"Cash";"Lease"}, RANDBETWEEN(1,3))</f>
        <v>Lease</v>
      </c>
    </row>
    <row r="675" spans="1:15" x14ac:dyDescent="0.2">
      <c r="A675" s="4">
        <v>673</v>
      </c>
      <c r="B675" s="5">
        <f t="shared" ca="1" si="90"/>
        <v>45050</v>
      </c>
      <c r="C675" s="4" t="str" cm="1">
        <f t="array" aca="1" ref="C675" ca="1">INDEX({"Cochin";"Delhi";"Mumbai";"Pune";"Bengaluru"}, RANDBETWEEN(1,5))</f>
        <v>Delhi</v>
      </c>
      <c r="D675" s="4" t="str" cm="1">
        <f t="array" aca="1" ref="D675" ca="1">INDEX({"C-Class";"E-Class";"S-Class";"GLA";"GLC";"GLE";"GLS";"EQB"}, RANDBETWEEN(1,8))</f>
        <v>E-Class</v>
      </c>
      <c r="E675" s="4" t="str">
        <f t="shared" ca="1" si="91"/>
        <v>Sedan</v>
      </c>
      <c r="F675" s="4">
        <f t="shared" ca="1" si="92"/>
        <v>2</v>
      </c>
      <c r="G675" s="8">
        <f t="shared" ca="1" si="93"/>
        <v>8627870</v>
      </c>
      <c r="H675" s="8">
        <f t="shared" ca="1" si="94"/>
        <v>17255740</v>
      </c>
      <c r="I675" s="8">
        <f t="shared" ca="1" si="95"/>
        <v>14322264.199999999</v>
      </c>
      <c r="J675" s="8">
        <f t="shared" ca="1" si="96"/>
        <v>2933475.8000000007</v>
      </c>
      <c r="K675" s="6">
        <f t="shared" ca="1" si="97"/>
        <v>0.17000000000000004</v>
      </c>
      <c r="L675" s="4" t="str" cm="1">
        <f t="array" aca="1" ref="L675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75" s="8">
        <f t="shared" ca="1" si="98"/>
        <v>11510</v>
      </c>
      <c r="N675" s="4" t="str" cm="1">
        <f t="array" aca="1" ref="N675" ca="1">INDEX({"New";"Repeat"}, RANDBETWEEN(1,2))</f>
        <v>New</v>
      </c>
      <c r="O675" s="4" t="str" cm="1">
        <f t="array" aca="1" ref="O675" ca="1">INDEX({"Loan";"Cash";"Lease"}, RANDBETWEEN(1,3))</f>
        <v>Loan</v>
      </c>
    </row>
    <row r="676" spans="1:15" x14ac:dyDescent="0.2">
      <c r="A676" s="4">
        <v>674</v>
      </c>
      <c r="B676" s="5">
        <f t="shared" ca="1" si="90"/>
        <v>45775</v>
      </c>
      <c r="C676" s="4" t="str" cm="1">
        <f t="array" aca="1" ref="C676" ca="1">INDEX({"Cochin";"Delhi";"Mumbai";"Pune";"Bengaluru"}, RANDBETWEEN(1,5))</f>
        <v>Mumbai</v>
      </c>
      <c r="D676" s="4" t="str" cm="1">
        <f t="array" aca="1" ref="D676" ca="1">INDEX({"C-Class";"E-Class";"S-Class";"GLA";"GLC";"GLE";"GLS";"EQB"}, RANDBETWEEN(1,8))</f>
        <v>S-Class</v>
      </c>
      <c r="E676" s="4" t="str">
        <f t="shared" ca="1" si="91"/>
        <v>Sedan</v>
      </c>
      <c r="F676" s="4">
        <f t="shared" ca="1" si="92"/>
        <v>1</v>
      </c>
      <c r="G676" s="8">
        <f t="shared" ca="1" si="93"/>
        <v>20571678</v>
      </c>
      <c r="H676" s="8">
        <f t="shared" ca="1" si="94"/>
        <v>20571678</v>
      </c>
      <c r="I676" s="8">
        <f t="shared" ca="1" si="95"/>
        <v>15428758.5</v>
      </c>
      <c r="J676" s="8">
        <f t="shared" ca="1" si="96"/>
        <v>5142919.5</v>
      </c>
      <c r="K676" s="6">
        <f t="shared" ca="1" si="97"/>
        <v>0.25</v>
      </c>
      <c r="L676" s="4" t="str" cm="1">
        <f t="array" aca="1" ref="L67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76" s="8">
        <f t="shared" ca="1" si="98"/>
        <v>18540</v>
      </c>
      <c r="N676" s="4" t="str" cm="1">
        <f t="array" aca="1" ref="N676" ca="1">INDEX({"New";"Repeat"}, RANDBETWEEN(1,2))</f>
        <v>New</v>
      </c>
      <c r="O676" s="4" t="str" cm="1">
        <f t="array" aca="1" ref="O676" ca="1">INDEX({"Loan";"Cash";"Lease"}, RANDBETWEEN(1,3))</f>
        <v>Loan</v>
      </c>
    </row>
    <row r="677" spans="1:15" x14ac:dyDescent="0.2">
      <c r="A677" s="4">
        <v>675</v>
      </c>
      <c r="B677" s="5">
        <f t="shared" ca="1" si="90"/>
        <v>45675</v>
      </c>
      <c r="C677" s="4" t="str" cm="1">
        <f t="array" aca="1" ref="C677" ca="1">INDEX({"Cochin";"Delhi";"Mumbai";"Pune";"Bengaluru"}, RANDBETWEEN(1,5))</f>
        <v>Cochin</v>
      </c>
      <c r="D677" s="4" t="str" cm="1">
        <f t="array" aca="1" ref="D677" ca="1">INDEX({"C-Class";"E-Class";"S-Class";"GLA";"GLC";"GLE";"GLS";"EQB"}, RANDBETWEEN(1,8))</f>
        <v>E-Class</v>
      </c>
      <c r="E677" s="4" t="str">
        <f t="shared" ca="1" si="91"/>
        <v>Sedan</v>
      </c>
      <c r="F677" s="4">
        <f t="shared" ca="1" si="92"/>
        <v>5</v>
      </c>
      <c r="G677" s="8">
        <f t="shared" ca="1" si="93"/>
        <v>7558542</v>
      </c>
      <c r="H677" s="8">
        <f t="shared" ca="1" si="94"/>
        <v>37792710</v>
      </c>
      <c r="I677" s="8">
        <f t="shared" ca="1" si="95"/>
        <v>29100386.699999999</v>
      </c>
      <c r="J677" s="8">
        <f t="shared" ca="1" si="96"/>
        <v>8692323.3000000007</v>
      </c>
      <c r="K677" s="6">
        <f t="shared" ca="1" si="97"/>
        <v>0.23</v>
      </c>
      <c r="L677" s="4" t="str" cm="1">
        <f t="array" aca="1" ref="L67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677" s="8">
        <f t="shared" ca="1" si="98"/>
        <v>13760</v>
      </c>
      <c r="N677" s="4" t="str" cm="1">
        <f t="array" aca="1" ref="N677" ca="1">INDEX({"New";"Repeat"}, RANDBETWEEN(1,2))</f>
        <v>New</v>
      </c>
      <c r="O677" s="4" t="str" cm="1">
        <f t="array" aca="1" ref="O677" ca="1">INDEX({"Loan";"Cash";"Lease"}, RANDBETWEEN(1,3))</f>
        <v>Cash</v>
      </c>
    </row>
    <row r="678" spans="1:15" x14ac:dyDescent="0.2">
      <c r="A678" s="4">
        <v>676</v>
      </c>
      <c r="B678" s="5">
        <f t="shared" ca="1" si="90"/>
        <v>45387</v>
      </c>
      <c r="C678" s="4" t="str" cm="1">
        <f t="array" aca="1" ref="C678" ca="1">INDEX({"Cochin";"Delhi";"Mumbai";"Pune";"Bengaluru"}, RANDBETWEEN(1,5))</f>
        <v>Pune</v>
      </c>
      <c r="D678" s="4" t="str" cm="1">
        <f t="array" aca="1" ref="D678" ca="1">INDEX({"C-Class";"E-Class";"S-Class";"GLA";"GLC";"GLE";"GLS";"EQB"}, RANDBETWEEN(1,8))</f>
        <v>GLS</v>
      </c>
      <c r="E678" s="4" t="str">
        <f t="shared" ca="1" si="91"/>
        <v>SUV</v>
      </c>
      <c r="F678" s="4">
        <f t="shared" ca="1" si="92"/>
        <v>4</v>
      </c>
      <c r="G678" s="8">
        <f t="shared" ca="1" si="93"/>
        <v>17811943</v>
      </c>
      <c r="H678" s="8">
        <f t="shared" ca="1" si="94"/>
        <v>71247772</v>
      </c>
      <c r="I678" s="8">
        <f t="shared" ca="1" si="95"/>
        <v>54860784.439999998</v>
      </c>
      <c r="J678" s="8">
        <f t="shared" ca="1" si="96"/>
        <v>16386987.560000002</v>
      </c>
      <c r="K678" s="6">
        <f t="shared" ca="1" si="97"/>
        <v>0.23000000000000004</v>
      </c>
      <c r="L678" s="4" t="str" cm="1">
        <f t="array" aca="1" ref="L67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78" s="8">
        <f t="shared" ca="1" si="98"/>
        <v>6841</v>
      </c>
      <c r="N678" s="4" t="str" cm="1">
        <f t="array" aca="1" ref="N678" ca="1">INDEX({"New";"Repeat"}, RANDBETWEEN(1,2))</f>
        <v>Repeat</v>
      </c>
      <c r="O678" s="4" t="str" cm="1">
        <f t="array" aca="1" ref="O678" ca="1">INDEX({"Loan";"Cash";"Lease"}, RANDBETWEEN(1,3))</f>
        <v>Cash</v>
      </c>
    </row>
    <row r="679" spans="1:15" x14ac:dyDescent="0.2">
      <c r="A679" s="4">
        <v>677</v>
      </c>
      <c r="B679" s="5">
        <f t="shared" ca="1" si="90"/>
        <v>45194</v>
      </c>
      <c r="C679" s="4" t="str" cm="1">
        <f t="array" aca="1" ref="C679" ca="1">INDEX({"Cochin";"Delhi";"Mumbai";"Pune";"Bengaluru"}, RANDBETWEEN(1,5))</f>
        <v>Cochin</v>
      </c>
      <c r="D679" s="4" t="str" cm="1">
        <f t="array" aca="1" ref="D679" ca="1">INDEX({"C-Class";"E-Class";"S-Class";"GLA";"GLC";"GLE";"GLS";"EQB"}, RANDBETWEEN(1,8))</f>
        <v>GLC</v>
      </c>
      <c r="E679" s="4" t="str">
        <f t="shared" ca="1" si="91"/>
        <v>SUV</v>
      </c>
      <c r="F679" s="4">
        <f t="shared" ca="1" si="92"/>
        <v>4</v>
      </c>
      <c r="G679" s="8">
        <f t="shared" ca="1" si="93"/>
        <v>6731374</v>
      </c>
      <c r="H679" s="8">
        <f t="shared" ca="1" si="94"/>
        <v>26925496</v>
      </c>
      <c r="I679" s="8">
        <f t="shared" ca="1" si="95"/>
        <v>19117102.16</v>
      </c>
      <c r="J679" s="8">
        <f t="shared" ca="1" si="96"/>
        <v>7808393.8399999999</v>
      </c>
      <c r="K679" s="6">
        <f t="shared" ca="1" si="97"/>
        <v>0.28999999999999998</v>
      </c>
      <c r="L679" s="4" t="str" cm="1">
        <f t="array" aca="1" ref="L67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79" s="8">
        <f t="shared" ca="1" si="98"/>
        <v>24200</v>
      </c>
      <c r="N679" s="4" t="str" cm="1">
        <f t="array" aca="1" ref="N679" ca="1">INDEX({"New";"Repeat"}, RANDBETWEEN(1,2))</f>
        <v>New</v>
      </c>
      <c r="O679" s="4" t="str" cm="1">
        <f t="array" aca="1" ref="O679" ca="1">INDEX({"Loan";"Cash";"Lease"}, RANDBETWEEN(1,3))</f>
        <v>Lease</v>
      </c>
    </row>
    <row r="680" spans="1:15" x14ac:dyDescent="0.2">
      <c r="A680" s="4">
        <v>678</v>
      </c>
      <c r="B680" s="5">
        <f t="shared" ca="1" si="90"/>
        <v>45709</v>
      </c>
      <c r="C680" s="4" t="str" cm="1">
        <f t="array" aca="1" ref="C680" ca="1">INDEX({"Cochin";"Delhi";"Mumbai";"Pune";"Bengaluru"}, RANDBETWEEN(1,5))</f>
        <v>Mumbai</v>
      </c>
      <c r="D680" s="4" t="str" cm="1">
        <f t="array" aca="1" ref="D680" ca="1">INDEX({"C-Class";"E-Class";"S-Class";"GLA";"GLC";"GLE";"GLS";"EQB"}, RANDBETWEEN(1,8))</f>
        <v>GLE</v>
      </c>
      <c r="E680" s="4" t="str">
        <f t="shared" ca="1" si="91"/>
        <v>SUV</v>
      </c>
      <c r="F680" s="4">
        <f t="shared" ca="1" si="92"/>
        <v>5</v>
      </c>
      <c r="G680" s="8">
        <f t="shared" ca="1" si="93"/>
        <v>11329235</v>
      </c>
      <c r="H680" s="8">
        <f t="shared" ca="1" si="94"/>
        <v>56646175</v>
      </c>
      <c r="I680" s="8">
        <f t="shared" ca="1" si="95"/>
        <v>40218784.25</v>
      </c>
      <c r="J680" s="8">
        <f t="shared" ca="1" si="96"/>
        <v>16427390.75</v>
      </c>
      <c r="K680" s="6">
        <f t="shared" ca="1" si="97"/>
        <v>0.28999999999999998</v>
      </c>
      <c r="L680" s="4" t="str" cm="1">
        <f t="array" aca="1" ref="L68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680" s="8">
        <f t="shared" ca="1" si="98"/>
        <v>13600</v>
      </c>
      <c r="N680" s="4" t="str" cm="1">
        <f t="array" aca="1" ref="N680" ca="1">INDEX({"New";"Repeat"}, RANDBETWEEN(1,2))</f>
        <v>New</v>
      </c>
      <c r="O680" s="4" t="str" cm="1">
        <f t="array" aca="1" ref="O680" ca="1">INDEX({"Loan";"Cash";"Lease"}, RANDBETWEEN(1,3))</f>
        <v>Loan</v>
      </c>
    </row>
    <row r="681" spans="1:15" x14ac:dyDescent="0.2">
      <c r="A681" s="4">
        <v>679</v>
      </c>
      <c r="B681" s="5">
        <f t="shared" ca="1" si="90"/>
        <v>45777</v>
      </c>
      <c r="C681" s="4" t="str" cm="1">
        <f t="array" aca="1" ref="C681" ca="1">INDEX({"Cochin";"Delhi";"Mumbai";"Pune";"Bengaluru"}, RANDBETWEEN(1,5))</f>
        <v>Delhi</v>
      </c>
      <c r="D681" s="4" t="str" cm="1">
        <f t="array" aca="1" ref="D681" ca="1">INDEX({"C-Class";"E-Class";"S-Class";"GLA";"GLC";"GLE";"GLS";"EQB"}, RANDBETWEEN(1,8))</f>
        <v>S-Class</v>
      </c>
      <c r="E681" s="4" t="str">
        <f t="shared" ca="1" si="91"/>
        <v>Sedan</v>
      </c>
      <c r="F681" s="4">
        <f t="shared" ca="1" si="92"/>
        <v>2</v>
      </c>
      <c r="G681" s="8">
        <f t="shared" ca="1" si="93"/>
        <v>17918444</v>
      </c>
      <c r="H681" s="8">
        <f t="shared" ca="1" si="94"/>
        <v>35836888</v>
      </c>
      <c r="I681" s="8">
        <f t="shared" ca="1" si="95"/>
        <v>28311141.52</v>
      </c>
      <c r="J681" s="8">
        <f t="shared" ca="1" si="96"/>
        <v>7525746.4800000004</v>
      </c>
      <c r="K681" s="6">
        <f t="shared" ca="1" si="97"/>
        <v>0.21000000000000002</v>
      </c>
      <c r="L681" s="4" t="str" cm="1">
        <f t="array" aca="1" ref="L68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81" s="8">
        <f t="shared" ca="1" si="98"/>
        <v>17334</v>
      </c>
      <c r="N681" s="4" t="str" cm="1">
        <f t="array" aca="1" ref="N681" ca="1">INDEX({"New";"Repeat"}, RANDBETWEEN(1,2))</f>
        <v>New</v>
      </c>
      <c r="O681" s="4" t="str" cm="1">
        <f t="array" aca="1" ref="O681" ca="1">INDEX({"Loan";"Cash";"Lease"}, RANDBETWEEN(1,3))</f>
        <v>Cash</v>
      </c>
    </row>
    <row r="682" spans="1:15" x14ac:dyDescent="0.2">
      <c r="A682" s="4">
        <v>680</v>
      </c>
      <c r="B682" s="5">
        <f t="shared" ca="1" si="90"/>
        <v>45086</v>
      </c>
      <c r="C682" s="4" t="str" cm="1">
        <f t="array" aca="1" ref="C682" ca="1">INDEX({"Cochin";"Delhi";"Mumbai";"Pune";"Bengaluru"}, RANDBETWEEN(1,5))</f>
        <v>Bengaluru</v>
      </c>
      <c r="D682" s="4" t="str" cm="1">
        <f t="array" aca="1" ref="D682" ca="1">INDEX({"C-Class";"E-Class";"S-Class";"GLA";"GLC";"GLE";"GLS";"EQB"}, RANDBETWEEN(1,8))</f>
        <v>GLE</v>
      </c>
      <c r="E682" s="4" t="str">
        <f t="shared" ca="1" si="91"/>
        <v>SUV</v>
      </c>
      <c r="F682" s="4">
        <f t="shared" ca="1" si="92"/>
        <v>3</v>
      </c>
      <c r="G682" s="8">
        <f t="shared" ca="1" si="93"/>
        <v>11419447</v>
      </c>
      <c r="H682" s="8">
        <f t="shared" ca="1" si="94"/>
        <v>34258341</v>
      </c>
      <c r="I682" s="8">
        <f t="shared" ca="1" si="95"/>
        <v>26721505.98</v>
      </c>
      <c r="J682" s="8">
        <f t="shared" ca="1" si="96"/>
        <v>7536835.0199999996</v>
      </c>
      <c r="K682" s="6">
        <f t="shared" ca="1" si="97"/>
        <v>0.21999999999999997</v>
      </c>
      <c r="L682" s="4" t="str" cm="1">
        <f t="array" aca="1" ref="L68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682" s="8">
        <f t="shared" ca="1" si="98"/>
        <v>19079</v>
      </c>
      <c r="N682" s="4" t="str" cm="1">
        <f t="array" aca="1" ref="N682" ca="1">INDEX({"New";"Repeat"}, RANDBETWEEN(1,2))</f>
        <v>New</v>
      </c>
      <c r="O682" s="4" t="str" cm="1">
        <f t="array" aca="1" ref="O682" ca="1">INDEX({"Loan";"Cash";"Lease"}, RANDBETWEEN(1,3))</f>
        <v>Loan</v>
      </c>
    </row>
    <row r="683" spans="1:15" x14ac:dyDescent="0.2">
      <c r="A683" s="4">
        <v>681</v>
      </c>
      <c r="B683" s="5">
        <f t="shared" ca="1" si="90"/>
        <v>45449</v>
      </c>
      <c r="C683" s="4" t="str" cm="1">
        <f t="array" aca="1" ref="C683" ca="1">INDEX({"Cochin";"Delhi";"Mumbai";"Pune";"Bengaluru"}, RANDBETWEEN(1,5))</f>
        <v>Pune</v>
      </c>
      <c r="D683" s="4" t="str" cm="1">
        <f t="array" aca="1" ref="D683" ca="1">INDEX({"C-Class";"E-Class";"S-Class";"GLA";"GLC";"GLE";"GLS";"EQB"}, RANDBETWEEN(1,8))</f>
        <v>C-Class</v>
      </c>
      <c r="E683" s="4" t="str">
        <f t="shared" ca="1" si="91"/>
        <v>Sedan</v>
      </c>
      <c r="F683" s="4">
        <f t="shared" ca="1" si="92"/>
        <v>1</v>
      </c>
      <c r="G683" s="8">
        <f t="shared" ca="1" si="93"/>
        <v>5850130</v>
      </c>
      <c r="H683" s="8">
        <f t="shared" ca="1" si="94"/>
        <v>5850130</v>
      </c>
      <c r="I683" s="8">
        <f t="shared" ca="1" si="95"/>
        <v>4972610.5</v>
      </c>
      <c r="J683" s="8">
        <f t="shared" ca="1" si="96"/>
        <v>877519.5</v>
      </c>
      <c r="K683" s="6">
        <f t="shared" ca="1" si="97"/>
        <v>0.15</v>
      </c>
      <c r="L683" s="4" t="str" cm="1">
        <f t="array" aca="1" ref="L68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683" s="8">
        <f t="shared" ca="1" si="98"/>
        <v>6235</v>
      </c>
      <c r="N683" s="4" t="str" cm="1">
        <f t="array" aca="1" ref="N683" ca="1">INDEX({"New";"Repeat"}, RANDBETWEEN(1,2))</f>
        <v>Repeat</v>
      </c>
      <c r="O683" s="4" t="str" cm="1">
        <f t="array" aca="1" ref="O683" ca="1">INDEX({"Loan";"Cash";"Lease"}, RANDBETWEEN(1,3))</f>
        <v>Lease</v>
      </c>
    </row>
    <row r="684" spans="1:15" x14ac:dyDescent="0.2">
      <c r="A684" s="4">
        <v>682</v>
      </c>
      <c r="B684" s="5">
        <f t="shared" ca="1" si="90"/>
        <v>44977</v>
      </c>
      <c r="C684" s="4" t="str" cm="1">
        <f t="array" aca="1" ref="C684" ca="1">INDEX({"Cochin";"Delhi";"Mumbai";"Pune";"Bengaluru"}, RANDBETWEEN(1,5))</f>
        <v>Cochin</v>
      </c>
      <c r="D684" s="4" t="str" cm="1">
        <f t="array" aca="1" ref="D684" ca="1">INDEX({"C-Class";"E-Class";"S-Class";"GLA";"GLC";"GLE";"GLS";"EQB"}, RANDBETWEEN(1,8))</f>
        <v>E-Class</v>
      </c>
      <c r="E684" s="4" t="str">
        <f t="shared" ca="1" si="91"/>
        <v>Sedan</v>
      </c>
      <c r="F684" s="4">
        <f t="shared" ca="1" si="92"/>
        <v>2</v>
      </c>
      <c r="G684" s="8">
        <f t="shared" ca="1" si="93"/>
        <v>9049833</v>
      </c>
      <c r="H684" s="8">
        <f t="shared" ca="1" si="94"/>
        <v>18099666</v>
      </c>
      <c r="I684" s="8">
        <f t="shared" ca="1" si="95"/>
        <v>14117739.48</v>
      </c>
      <c r="J684" s="8">
        <f t="shared" ca="1" si="96"/>
        <v>3981926.5199999996</v>
      </c>
      <c r="K684" s="6">
        <f t="shared" ca="1" si="97"/>
        <v>0.21999999999999997</v>
      </c>
      <c r="L684" s="4" t="str" cm="1">
        <f t="array" aca="1" ref="L68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84" s="8">
        <f t="shared" ca="1" si="98"/>
        <v>3580</v>
      </c>
      <c r="N684" s="4" t="str" cm="1">
        <f t="array" aca="1" ref="N684" ca="1">INDEX({"New";"Repeat"}, RANDBETWEEN(1,2))</f>
        <v>Repeat</v>
      </c>
      <c r="O684" s="4" t="str" cm="1">
        <f t="array" aca="1" ref="O684" ca="1">INDEX({"Loan";"Cash";"Lease"}, RANDBETWEEN(1,3))</f>
        <v>Cash</v>
      </c>
    </row>
    <row r="685" spans="1:15" x14ac:dyDescent="0.2">
      <c r="A685" s="4">
        <v>683</v>
      </c>
      <c r="B685" s="5">
        <f t="shared" ca="1" si="90"/>
        <v>44978</v>
      </c>
      <c r="C685" s="4" t="str" cm="1">
        <f t="array" aca="1" ref="C685" ca="1">INDEX({"Cochin";"Delhi";"Mumbai";"Pune";"Bengaluru"}, RANDBETWEEN(1,5))</f>
        <v>Mumbai</v>
      </c>
      <c r="D685" s="4" t="str" cm="1">
        <f t="array" aca="1" ref="D685" ca="1">INDEX({"C-Class";"E-Class";"S-Class";"GLA";"GLC";"GLE";"GLS";"EQB"}, RANDBETWEEN(1,8))</f>
        <v>C-Class</v>
      </c>
      <c r="E685" s="4" t="str">
        <f t="shared" ca="1" si="91"/>
        <v>Sedan</v>
      </c>
      <c r="F685" s="4">
        <f t="shared" ca="1" si="92"/>
        <v>1</v>
      </c>
      <c r="G685" s="8">
        <f t="shared" ca="1" si="93"/>
        <v>6822811</v>
      </c>
      <c r="H685" s="8">
        <f t="shared" ca="1" si="94"/>
        <v>6822811</v>
      </c>
      <c r="I685" s="8">
        <f t="shared" ca="1" si="95"/>
        <v>4775967.7</v>
      </c>
      <c r="J685" s="8">
        <f t="shared" ca="1" si="96"/>
        <v>2046843.2999999998</v>
      </c>
      <c r="K685" s="6">
        <f t="shared" ca="1" si="97"/>
        <v>0.3</v>
      </c>
      <c r="L685" s="4" t="str" cm="1">
        <f t="array" aca="1" ref="L685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685" s="8">
        <f t="shared" ca="1" si="98"/>
        <v>6244</v>
      </c>
      <c r="N685" s="4" t="str" cm="1">
        <f t="array" aca="1" ref="N685" ca="1">INDEX({"New";"Repeat"}, RANDBETWEEN(1,2))</f>
        <v>Repeat</v>
      </c>
      <c r="O685" s="4" t="str" cm="1">
        <f t="array" aca="1" ref="O685" ca="1">INDEX({"Loan";"Cash";"Lease"}, RANDBETWEEN(1,3))</f>
        <v>Cash</v>
      </c>
    </row>
    <row r="686" spans="1:15" x14ac:dyDescent="0.2">
      <c r="A686" s="4">
        <v>684</v>
      </c>
      <c r="B686" s="5">
        <f t="shared" ca="1" si="90"/>
        <v>45762</v>
      </c>
      <c r="C686" s="4" t="str" cm="1">
        <f t="array" aca="1" ref="C686" ca="1">INDEX({"Cochin";"Delhi";"Mumbai";"Pune";"Bengaluru"}, RANDBETWEEN(1,5))</f>
        <v>Cochin</v>
      </c>
      <c r="D686" s="4" t="str" cm="1">
        <f t="array" aca="1" ref="D686" ca="1">INDEX({"C-Class";"E-Class";"S-Class";"GLA";"GLC";"GLE";"GLS";"EQB"}, RANDBETWEEN(1,8))</f>
        <v>S-Class</v>
      </c>
      <c r="E686" s="4" t="str">
        <f t="shared" ca="1" si="91"/>
        <v>Sedan</v>
      </c>
      <c r="F686" s="4">
        <f t="shared" ca="1" si="92"/>
        <v>2</v>
      </c>
      <c r="G686" s="8">
        <f t="shared" ca="1" si="93"/>
        <v>15205853</v>
      </c>
      <c r="H686" s="8">
        <f t="shared" ca="1" si="94"/>
        <v>30411706</v>
      </c>
      <c r="I686" s="8">
        <f t="shared" ca="1" si="95"/>
        <v>22504662.440000001</v>
      </c>
      <c r="J686" s="8">
        <f t="shared" ca="1" si="96"/>
        <v>7907043.5599999987</v>
      </c>
      <c r="K686" s="6">
        <f t="shared" ca="1" si="97"/>
        <v>0.25999999999999995</v>
      </c>
      <c r="L686" s="4" t="str" cm="1">
        <f t="array" aca="1" ref="L68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86" s="8">
        <f t="shared" ca="1" si="98"/>
        <v>6614</v>
      </c>
      <c r="N686" s="4" t="str" cm="1">
        <f t="array" aca="1" ref="N686" ca="1">INDEX({"New";"Repeat"}, RANDBETWEEN(1,2))</f>
        <v>Repeat</v>
      </c>
      <c r="O686" s="4" t="str" cm="1">
        <f t="array" aca="1" ref="O686" ca="1">INDEX({"Loan";"Cash";"Lease"}, RANDBETWEEN(1,3))</f>
        <v>Loan</v>
      </c>
    </row>
    <row r="687" spans="1:15" x14ac:dyDescent="0.2">
      <c r="A687" s="4">
        <v>685</v>
      </c>
      <c r="B687" s="5">
        <f t="shared" ca="1" si="90"/>
        <v>45753</v>
      </c>
      <c r="C687" s="4" t="str" cm="1">
        <f t="array" aca="1" ref="C687" ca="1">INDEX({"Cochin";"Delhi";"Mumbai";"Pune";"Bengaluru"}, RANDBETWEEN(1,5))</f>
        <v>Pune</v>
      </c>
      <c r="D687" s="4" t="str" cm="1">
        <f t="array" aca="1" ref="D687" ca="1">INDEX({"C-Class";"E-Class";"S-Class";"GLA";"GLC";"GLE";"GLS";"EQB"}, RANDBETWEEN(1,8))</f>
        <v>S-Class</v>
      </c>
      <c r="E687" s="4" t="str">
        <f t="shared" ca="1" si="91"/>
        <v>Sedan</v>
      </c>
      <c r="F687" s="4">
        <f t="shared" ca="1" si="92"/>
        <v>3</v>
      </c>
      <c r="G687" s="8">
        <f t="shared" ca="1" si="93"/>
        <v>21955339</v>
      </c>
      <c r="H687" s="8">
        <f t="shared" ca="1" si="94"/>
        <v>65866017</v>
      </c>
      <c r="I687" s="8">
        <f t="shared" ca="1" si="95"/>
        <v>49399512.75</v>
      </c>
      <c r="J687" s="8">
        <f t="shared" ca="1" si="96"/>
        <v>16466504.25</v>
      </c>
      <c r="K687" s="6">
        <f t="shared" ca="1" si="97"/>
        <v>0.25</v>
      </c>
      <c r="L687" s="4" t="str" cm="1">
        <f t="array" aca="1" ref="L68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87" s="8">
        <f t="shared" ca="1" si="98"/>
        <v>4612</v>
      </c>
      <c r="N687" s="4" t="str" cm="1">
        <f t="array" aca="1" ref="N687" ca="1">INDEX({"New";"Repeat"}, RANDBETWEEN(1,2))</f>
        <v>Repeat</v>
      </c>
      <c r="O687" s="4" t="str" cm="1">
        <f t="array" aca="1" ref="O687" ca="1">INDEX({"Loan";"Cash";"Lease"}, RANDBETWEEN(1,3))</f>
        <v>Loan</v>
      </c>
    </row>
    <row r="688" spans="1:15" x14ac:dyDescent="0.2">
      <c r="A688" s="4">
        <v>686</v>
      </c>
      <c r="B688" s="5">
        <f t="shared" ca="1" si="90"/>
        <v>45837</v>
      </c>
      <c r="C688" s="4" t="str" cm="1">
        <f t="array" aca="1" ref="C688" ca="1">INDEX({"Cochin";"Delhi";"Mumbai";"Pune";"Bengaluru"}, RANDBETWEEN(1,5))</f>
        <v>Pune</v>
      </c>
      <c r="D688" s="4" t="str" cm="1">
        <f t="array" aca="1" ref="D688" ca="1">INDEX({"C-Class";"E-Class";"S-Class";"GLA";"GLC";"GLE";"GLS";"EQB"}, RANDBETWEEN(1,8))</f>
        <v>GLC</v>
      </c>
      <c r="E688" s="4" t="str">
        <f t="shared" ca="1" si="91"/>
        <v>SUV</v>
      </c>
      <c r="F688" s="4">
        <f t="shared" ca="1" si="92"/>
        <v>3</v>
      </c>
      <c r="G688" s="8">
        <f t="shared" ca="1" si="93"/>
        <v>6932215</v>
      </c>
      <c r="H688" s="8">
        <f t="shared" ca="1" si="94"/>
        <v>20796645</v>
      </c>
      <c r="I688" s="8">
        <f t="shared" ca="1" si="95"/>
        <v>14973584.4</v>
      </c>
      <c r="J688" s="8">
        <f t="shared" ca="1" si="96"/>
        <v>5823060.5999999996</v>
      </c>
      <c r="K688" s="6">
        <f t="shared" ca="1" si="97"/>
        <v>0.27999999999999997</v>
      </c>
      <c r="L688" s="4" t="str" cm="1">
        <f t="array" aca="1" ref="L68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688" s="8">
        <f t="shared" ca="1" si="98"/>
        <v>4809</v>
      </c>
      <c r="N688" s="4" t="str" cm="1">
        <f t="array" aca="1" ref="N688" ca="1">INDEX({"New";"Repeat"}, RANDBETWEEN(1,2))</f>
        <v>Repeat</v>
      </c>
      <c r="O688" s="4" t="str" cm="1">
        <f t="array" aca="1" ref="O688" ca="1">INDEX({"Loan";"Cash";"Lease"}, RANDBETWEEN(1,3))</f>
        <v>Lease</v>
      </c>
    </row>
    <row r="689" spans="1:15" x14ac:dyDescent="0.2">
      <c r="A689" s="4">
        <v>687</v>
      </c>
      <c r="B689" s="5">
        <f t="shared" ca="1" si="90"/>
        <v>45639</v>
      </c>
      <c r="C689" s="4" t="str" cm="1">
        <f t="array" aca="1" ref="C689" ca="1">INDEX({"Cochin";"Delhi";"Mumbai";"Pune";"Bengaluru"}, RANDBETWEEN(1,5))</f>
        <v>Cochin</v>
      </c>
      <c r="D689" s="4" t="str" cm="1">
        <f t="array" aca="1" ref="D689" ca="1">INDEX({"C-Class";"E-Class";"S-Class";"GLA";"GLC";"GLE";"GLS";"EQB"}, RANDBETWEEN(1,8))</f>
        <v>GLC</v>
      </c>
      <c r="E689" s="4" t="str">
        <f t="shared" ca="1" si="91"/>
        <v>SUV</v>
      </c>
      <c r="F689" s="4">
        <f t="shared" ca="1" si="92"/>
        <v>4</v>
      </c>
      <c r="G689" s="8">
        <f t="shared" ca="1" si="93"/>
        <v>6524675</v>
      </c>
      <c r="H689" s="8">
        <f t="shared" ca="1" si="94"/>
        <v>26098700</v>
      </c>
      <c r="I689" s="8">
        <f t="shared" ca="1" si="95"/>
        <v>20878960</v>
      </c>
      <c r="J689" s="8">
        <f t="shared" ca="1" si="96"/>
        <v>5219740</v>
      </c>
      <c r="K689" s="6">
        <f t="shared" ca="1" si="97"/>
        <v>0.2</v>
      </c>
      <c r="L689" s="4" t="str" cm="1">
        <f t="array" aca="1" ref="L68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89" s="8">
        <f t="shared" ca="1" si="98"/>
        <v>6854</v>
      </c>
      <c r="N689" s="4" t="str" cm="1">
        <f t="array" aca="1" ref="N689" ca="1">INDEX({"New";"Repeat"}, RANDBETWEEN(1,2))</f>
        <v>Repeat</v>
      </c>
      <c r="O689" s="4" t="str" cm="1">
        <f t="array" aca="1" ref="O689" ca="1">INDEX({"Loan";"Cash";"Lease"}, RANDBETWEEN(1,3))</f>
        <v>Loan</v>
      </c>
    </row>
    <row r="690" spans="1:15" x14ac:dyDescent="0.2">
      <c r="A690" s="4">
        <v>688</v>
      </c>
      <c r="B690" s="5">
        <f t="shared" ca="1" si="90"/>
        <v>45588</v>
      </c>
      <c r="C690" s="4" t="str" cm="1">
        <f t="array" aca="1" ref="C690" ca="1">INDEX({"Cochin";"Delhi";"Mumbai";"Pune";"Bengaluru"}, RANDBETWEEN(1,5))</f>
        <v>Pune</v>
      </c>
      <c r="D690" s="4" t="str" cm="1">
        <f t="array" aca="1" ref="D690" ca="1">INDEX({"C-Class";"E-Class";"S-Class";"GLA";"GLC";"GLE";"GLS";"EQB"}, RANDBETWEEN(1,8))</f>
        <v>S-Class</v>
      </c>
      <c r="E690" s="4" t="str">
        <f t="shared" ca="1" si="91"/>
        <v>Sedan</v>
      </c>
      <c r="F690" s="4">
        <f t="shared" ca="1" si="92"/>
        <v>5</v>
      </c>
      <c r="G690" s="8">
        <f t="shared" ca="1" si="93"/>
        <v>24930019</v>
      </c>
      <c r="H690" s="8">
        <f t="shared" ca="1" si="94"/>
        <v>124650095</v>
      </c>
      <c r="I690" s="8">
        <f t="shared" ca="1" si="95"/>
        <v>94734072.200000003</v>
      </c>
      <c r="J690" s="8">
        <f t="shared" ca="1" si="96"/>
        <v>29916022.799999997</v>
      </c>
      <c r="K690" s="6">
        <f t="shared" ca="1" si="97"/>
        <v>0.23999999999999996</v>
      </c>
      <c r="L690" s="4" t="str" cm="1">
        <f t="array" aca="1" ref="L690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90" s="8">
        <f t="shared" ca="1" si="98"/>
        <v>7345</v>
      </c>
      <c r="N690" s="4" t="str" cm="1">
        <f t="array" aca="1" ref="N690" ca="1">INDEX({"New";"Repeat"}, RANDBETWEEN(1,2))</f>
        <v>Repeat</v>
      </c>
      <c r="O690" s="4" t="str" cm="1">
        <f t="array" aca="1" ref="O690" ca="1">INDEX({"Loan";"Cash";"Lease"}, RANDBETWEEN(1,3))</f>
        <v>Loan</v>
      </c>
    </row>
    <row r="691" spans="1:15" x14ac:dyDescent="0.2">
      <c r="A691" s="4">
        <v>689</v>
      </c>
      <c r="B691" s="5">
        <f t="shared" ca="1" si="90"/>
        <v>45100</v>
      </c>
      <c r="C691" s="4" t="str" cm="1">
        <f t="array" aca="1" ref="C691" ca="1">INDEX({"Cochin";"Delhi";"Mumbai";"Pune";"Bengaluru"}, RANDBETWEEN(1,5))</f>
        <v>Mumbai</v>
      </c>
      <c r="D691" s="4" t="str" cm="1">
        <f t="array" aca="1" ref="D691" ca="1">INDEX({"C-Class";"E-Class";"S-Class";"GLA";"GLC";"GLE";"GLS";"EQB"}, RANDBETWEEN(1,8))</f>
        <v>EQB</v>
      </c>
      <c r="E691" s="4" t="str">
        <f t="shared" ca="1" si="91"/>
        <v>EV</v>
      </c>
      <c r="F691" s="4">
        <f t="shared" ca="1" si="92"/>
        <v>4</v>
      </c>
      <c r="G691" s="8">
        <f t="shared" ca="1" si="93"/>
        <v>7337659</v>
      </c>
      <c r="H691" s="8">
        <f t="shared" ca="1" si="94"/>
        <v>29350636</v>
      </c>
      <c r="I691" s="8">
        <f t="shared" ca="1" si="95"/>
        <v>21132457.920000002</v>
      </c>
      <c r="J691" s="8">
        <f t="shared" ca="1" si="96"/>
        <v>8218178.0799999982</v>
      </c>
      <c r="K691" s="6">
        <f t="shared" ca="1" si="97"/>
        <v>0.27999999999999992</v>
      </c>
      <c r="L691" s="4" t="str" cm="1">
        <f t="array" aca="1" ref="L69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691" s="8">
        <f t="shared" ca="1" si="98"/>
        <v>13425</v>
      </c>
      <c r="N691" s="4" t="str" cm="1">
        <f t="array" aca="1" ref="N691" ca="1">INDEX({"New";"Repeat"}, RANDBETWEEN(1,2))</f>
        <v>New</v>
      </c>
      <c r="O691" s="4" t="str" cm="1">
        <f t="array" aca="1" ref="O691" ca="1">INDEX({"Loan";"Cash";"Lease"}, RANDBETWEEN(1,3))</f>
        <v>Loan</v>
      </c>
    </row>
    <row r="692" spans="1:15" x14ac:dyDescent="0.2">
      <c r="A692" s="4">
        <v>690</v>
      </c>
      <c r="B692" s="5">
        <f t="shared" ca="1" si="90"/>
        <v>45621</v>
      </c>
      <c r="C692" s="4" t="str" cm="1">
        <f t="array" aca="1" ref="C692" ca="1">INDEX({"Cochin";"Delhi";"Mumbai";"Pune";"Bengaluru"}, RANDBETWEEN(1,5))</f>
        <v>Bengaluru</v>
      </c>
      <c r="D692" s="4" t="str" cm="1">
        <f t="array" aca="1" ref="D692" ca="1">INDEX({"C-Class";"E-Class";"S-Class";"GLA";"GLC";"GLE";"GLS";"EQB"}, RANDBETWEEN(1,8))</f>
        <v>GLE</v>
      </c>
      <c r="E692" s="4" t="str">
        <f t="shared" ca="1" si="91"/>
        <v>SUV</v>
      </c>
      <c r="F692" s="4">
        <f t="shared" ca="1" si="92"/>
        <v>5</v>
      </c>
      <c r="G692" s="8">
        <f t="shared" ca="1" si="93"/>
        <v>9749829</v>
      </c>
      <c r="H692" s="8">
        <f t="shared" ca="1" si="94"/>
        <v>48749145</v>
      </c>
      <c r="I692" s="8">
        <f t="shared" ca="1" si="95"/>
        <v>38511824.549999997</v>
      </c>
      <c r="J692" s="8">
        <f t="shared" ca="1" si="96"/>
        <v>10237320.450000003</v>
      </c>
      <c r="K692" s="6">
        <f t="shared" ca="1" si="97"/>
        <v>0.21000000000000005</v>
      </c>
      <c r="L692" s="4" t="str" cm="1">
        <f t="array" aca="1" ref="L69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692" s="8">
        <f t="shared" ca="1" si="98"/>
        <v>5842</v>
      </c>
      <c r="N692" s="4" t="str" cm="1">
        <f t="array" aca="1" ref="N692" ca="1">INDEX({"New";"Repeat"}, RANDBETWEEN(1,2))</f>
        <v>Repeat</v>
      </c>
      <c r="O692" s="4" t="str" cm="1">
        <f t="array" aca="1" ref="O692" ca="1">INDEX({"Loan";"Cash";"Lease"}, RANDBETWEEN(1,3))</f>
        <v>Lease</v>
      </c>
    </row>
    <row r="693" spans="1:15" x14ac:dyDescent="0.2">
      <c r="A693" s="4">
        <v>691</v>
      </c>
      <c r="B693" s="5">
        <f t="shared" ca="1" si="90"/>
        <v>45538</v>
      </c>
      <c r="C693" s="4" t="str" cm="1">
        <f t="array" aca="1" ref="C693" ca="1">INDEX({"Cochin";"Delhi";"Mumbai";"Pune";"Bengaluru"}, RANDBETWEEN(1,5))</f>
        <v>Cochin</v>
      </c>
      <c r="D693" s="4" t="str" cm="1">
        <f t="array" aca="1" ref="D693" ca="1">INDEX({"C-Class";"E-Class";"S-Class";"GLA";"GLC";"GLE";"GLS";"EQB"}, RANDBETWEEN(1,8))</f>
        <v>EQB</v>
      </c>
      <c r="E693" s="4" t="str">
        <f t="shared" ca="1" si="91"/>
        <v>EV</v>
      </c>
      <c r="F693" s="4">
        <f t="shared" ca="1" si="92"/>
        <v>1</v>
      </c>
      <c r="G693" s="8">
        <f t="shared" ca="1" si="93"/>
        <v>7967230</v>
      </c>
      <c r="H693" s="8">
        <f t="shared" ca="1" si="94"/>
        <v>7967230</v>
      </c>
      <c r="I693" s="8">
        <f t="shared" ca="1" si="95"/>
        <v>6373784</v>
      </c>
      <c r="J693" s="8">
        <f t="shared" ca="1" si="96"/>
        <v>1593446</v>
      </c>
      <c r="K693" s="6">
        <f t="shared" ca="1" si="97"/>
        <v>0.2</v>
      </c>
      <c r="L693" s="4" t="str" cm="1">
        <f t="array" aca="1" ref="L69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693" s="8">
        <f t="shared" ca="1" si="98"/>
        <v>20989</v>
      </c>
      <c r="N693" s="4" t="str" cm="1">
        <f t="array" aca="1" ref="N693" ca="1">INDEX({"New";"Repeat"}, RANDBETWEEN(1,2))</f>
        <v>New</v>
      </c>
      <c r="O693" s="4" t="str" cm="1">
        <f t="array" aca="1" ref="O693" ca="1">INDEX({"Loan";"Cash";"Lease"}, RANDBETWEEN(1,3))</f>
        <v>Cash</v>
      </c>
    </row>
    <row r="694" spans="1:15" x14ac:dyDescent="0.2">
      <c r="A694" s="4">
        <v>692</v>
      </c>
      <c r="B694" s="5">
        <f t="shared" ca="1" si="90"/>
        <v>45735</v>
      </c>
      <c r="C694" s="4" t="str" cm="1">
        <f t="array" aca="1" ref="C694" ca="1">INDEX({"Cochin";"Delhi";"Mumbai";"Pune";"Bengaluru"}, RANDBETWEEN(1,5))</f>
        <v>Delhi</v>
      </c>
      <c r="D694" s="4" t="str" cm="1">
        <f t="array" aca="1" ref="D694" ca="1">INDEX({"C-Class";"E-Class";"S-Class";"GLA";"GLC";"GLE";"GLS";"EQB"}, RANDBETWEEN(1,8))</f>
        <v>E-Class</v>
      </c>
      <c r="E694" s="4" t="str">
        <f t="shared" ca="1" si="91"/>
        <v>Sedan</v>
      </c>
      <c r="F694" s="4">
        <f t="shared" ca="1" si="92"/>
        <v>5</v>
      </c>
      <c r="G694" s="8">
        <f t="shared" ca="1" si="93"/>
        <v>8783095</v>
      </c>
      <c r="H694" s="8">
        <f t="shared" ca="1" si="94"/>
        <v>43915475</v>
      </c>
      <c r="I694" s="8">
        <f t="shared" ca="1" si="95"/>
        <v>37328153.75</v>
      </c>
      <c r="J694" s="8">
        <f t="shared" ca="1" si="96"/>
        <v>6587321.25</v>
      </c>
      <c r="K694" s="6">
        <f t="shared" ca="1" si="97"/>
        <v>0.15</v>
      </c>
      <c r="L694" s="4" t="str" cm="1">
        <f t="array" aca="1" ref="L69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94" s="8">
        <f t="shared" ca="1" si="98"/>
        <v>3819</v>
      </c>
      <c r="N694" s="4" t="str" cm="1">
        <f t="array" aca="1" ref="N694" ca="1">INDEX({"New";"Repeat"}, RANDBETWEEN(1,2))</f>
        <v>Repeat</v>
      </c>
      <c r="O694" s="4" t="str" cm="1">
        <f t="array" aca="1" ref="O694" ca="1">INDEX({"Loan";"Cash";"Lease"}, RANDBETWEEN(1,3))</f>
        <v>Loan</v>
      </c>
    </row>
    <row r="695" spans="1:15" x14ac:dyDescent="0.2">
      <c r="A695" s="4">
        <v>693</v>
      </c>
      <c r="B695" s="5">
        <f t="shared" ca="1" si="90"/>
        <v>45348</v>
      </c>
      <c r="C695" s="4" t="str" cm="1">
        <f t="array" aca="1" ref="C695" ca="1">INDEX({"Cochin";"Delhi";"Mumbai";"Pune";"Bengaluru"}, RANDBETWEEN(1,5))</f>
        <v>Cochin</v>
      </c>
      <c r="D695" s="4" t="str" cm="1">
        <f t="array" aca="1" ref="D695" ca="1">INDEX({"C-Class";"E-Class";"S-Class";"GLA";"GLC";"GLE";"GLS";"EQB"}, RANDBETWEEN(1,8))</f>
        <v>GLC</v>
      </c>
      <c r="E695" s="4" t="str">
        <f t="shared" ca="1" si="91"/>
        <v>SUV</v>
      </c>
      <c r="F695" s="4">
        <f t="shared" ca="1" si="92"/>
        <v>4</v>
      </c>
      <c r="G695" s="8">
        <f t="shared" ca="1" si="93"/>
        <v>7342098</v>
      </c>
      <c r="H695" s="8">
        <f t="shared" ca="1" si="94"/>
        <v>29368392</v>
      </c>
      <c r="I695" s="8">
        <f t="shared" ca="1" si="95"/>
        <v>24082081.440000001</v>
      </c>
      <c r="J695" s="8">
        <f t="shared" ca="1" si="96"/>
        <v>5286310.5599999987</v>
      </c>
      <c r="K695" s="6">
        <f t="shared" ca="1" si="97"/>
        <v>0.17999999999999997</v>
      </c>
      <c r="L695" s="4" t="str" cm="1">
        <f t="array" aca="1" ref="L69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695" s="8">
        <f t="shared" ca="1" si="98"/>
        <v>10447</v>
      </c>
      <c r="N695" s="4" t="str" cm="1">
        <f t="array" aca="1" ref="N695" ca="1">INDEX({"New";"Repeat"}, RANDBETWEEN(1,2))</f>
        <v>New</v>
      </c>
      <c r="O695" s="4" t="str" cm="1">
        <f t="array" aca="1" ref="O695" ca="1">INDEX({"Loan";"Cash";"Lease"}, RANDBETWEEN(1,3))</f>
        <v>Loan</v>
      </c>
    </row>
    <row r="696" spans="1:15" x14ac:dyDescent="0.2">
      <c r="A696" s="4">
        <v>694</v>
      </c>
      <c r="B696" s="5">
        <f t="shared" ca="1" si="90"/>
        <v>45031</v>
      </c>
      <c r="C696" s="4" t="str" cm="1">
        <f t="array" aca="1" ref="C696" ca="1">INDEX({"Cochin";"Delhi";"Mumbai";"Pune";"Bengaluru"}, RANDBETWEEN(1,5))</f>
        <v>Mumbai</v>
      </c>
      <c r="D696" s="4" t="str" cm="1">
        <f t="array" aca="1" ref="D696" ca="1">INDEX({"C-Class";"E-Class";"S-Class";"GLA";"GLC";"GLE";"GLS";"EQB"}, RANDBETWEEN(1,8))</f>
        <v>GLS</v>
      </c>
      <c r="E696" s="4" t="str">
        <f t="shared" ca="1" si="91"/>
        <v>SUV</v>
      </c>
      <c r="F696" s="4">
        <f t="shared" ca="1" si="92"/>
        <v>4</v>
      </c>
      <c r="G696" s="8">
        <f t="shared" ca="1" si="93"/>
        <v>13172798</v>
      </c>
      <c r="H696" s="8">
        <f t="shared" ca="1" si="94"/>
        <v>52691192</v>
      </c>
      <c r="I696" s="8">
        <f t="shared" ca="1" si="95"/>
        <v>41099129.759999998</v>
      </c>
      <c r="J696" s="8">
        <f t="shared" ca="1" si="96"/>
        <v>11592062.240000002</v>
      </c>
      <c r="K696" s="6">
        <f t="shared" ca="1" si="97"/>
        <v>0.22000000000000003</v>
      </c>
      <c r="L696" s="4" t="str" cm="1">
        <f t="array" aca="1" ref="L696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696" s="8">
        <f t="shared" ca="1" si="98"/>
        <v>23574</v>
      </c>
      <c r="N696" s="4" t="str" cm="1">
        <f t="array" aca="1" ref="N696" ca="1">INDEX({"New";"Repeat"}, RANDBETWEEN(1,2))</f>
        <v>New</v>
      </c>
      <c r="O696" s="4" t="str" cm="1">
        <f t="array" aca="1" ref="O696" ca="1">INDEX({"Loan";"Cash";"Lease"}, RANDBETWEEN(1,3))</f>
        <v>Loan</v>
      </c>
    </row>
    <row r="697" spans="1:15" x14ac:dyDescent="0.2">
      <c r="A697" s="4">
        <v>695</v>
      </c>
      <c r="B697" s="5">
        <f t="shared" ca="1" si="90"/>
        <v>45812</v>
      </c>
      <c r="C697" s="4" t="str" cm="1">
        <f t="array" aca="1" ref="C697" ca="1">INDEX({"Cochin";"Delhi";"Mumbai";"Pune";"Bengaluru"}, RANDBETWEEN(1,5))</f>
        <v>Delhi</v>
      </c>
      <c r="D697" s="4" t="str" cm="1">
        <f t="array" aca="1" ref="D697" ca="1">INDEX({"C-Class";"E-Class";"S-Class";"GLA";"GLC";"GLE";"GLS";"EQB"}, RANDBETWEEN(1,8))</f>
        <v>C-Class</v>
      </c>
      <c r="E697" s="4" t="str">
        <f t="shared" ca="1" si="91"/>
        <v>Sedan</v>
      </c>
      <c r="F697" s="4">
        <f t="shared" ca="1" si="92"/>
        <v>4</v>
      </c>
      <c r="G697" s="8">
        <f t="shared" ca="1" si="93"/>
        <v>6400944</v>
      </c>
      <c r="H697" s="8">
        <f t="shared" ca="1" si="94"/>
        <v>25603776</v>
      </c>
      <c r="I697" s="8">
        <f t="shared" ca="1" si="95"/>
        <v>21507171.84</v>
      </c>
      <c r="J697" s="8">
        <f t="shared" ca="1" si="96"/>
        <v>4096604.1600000001</v>
      </c>
      <c r="K697" s="6">
        <f t="shared" ca="1" si="97"/>
        <v>0.16</v>
      </c>
      <c r="L697" s="4" t="str" cm="1">
        <f t="array" aca="1" ref="L697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697" s="8">
        <f t="shared" ca="1" si="98"/>
        <v>22637</v>
      </c>
      <c r="N697" s="4" t="str" cm="1">
        <f t="array" aca="1" ref="N697" ca="1">INDEX({"New";"Repeat"}, RANDBETWEEN(1,2))</f>
        <v>New</v>
      </c>
      <c r="O697" s="4" t="str" cm="1">
        <f t="array" aca="1" ref="O697" ca="1">INDEX({"Loan";"Cash";"Lease"}, RANDBETWEEN(1,3))</f>
        <v>Lease</v>
      </c>
    </row>
    <row r="698" spans="1:15" x14ac:dyDescent="0.2">
      <c r="A698" s="4">
        <v>696</v>
      </c>
      <c r="B698" s="5">
        <f t="shared" ca="1" si="90"/>
        <v>45815</v>
      </c>
      <c r="C698" s="4" t="str" cm="1">
        <f t="array" aca="1" ref="C698" ca="1">INDEX({"Cochin";"Delhi";"Mumbai";"Pune";"Bengaluru"}, RANDBETWEEN(1,5))</f>
        <v>Pune</v>
      </c>
      <c r="D698" s="4" t="str" cm="1">
        <f t="array" aca="1" ref="D698" ca="1">INDEX({"C-Class";"E-Class";"S-Class";"GLA";"GLC";"GLE";"GLS";"EQB"}, RANDBETWEEN(1,8))</f>
        <v>S-Class</v>
      </c>
      <c r="E698" s="4" t="str">
        <f t="shared" ca="1" si="91"/>
        <v>Sedan</v>
      </c>
      <c r="F698" s="4">
        <f t="shared" ca="1" si="92"/>
        <v>2</v>
      </c>
      <c r="G698" s="8">
        <f t="shared" ca="1" si="93"/>
        <v>22107208</v>
      </c>
      <c r="H698" s="8">
        <f t="shared" ca="1" si="94"/>
        <v>44214416</v>
      </c>
      <c r="I698" s="8">
        <f t="shared" ca="1" si="95"/>
        <v>33160812</v>
      </c>
      <c r="J698" s="8">
        <f t="shared" ca="1" si="96"/>
        <v>11053604</v>
      </c>
      <c r="K698" s="6">
        <f t="shared" ca="1" si="97"/>
        <v>0.25</v>
      </c>
      <c r="L698" s="4" t="str" cm="1">
        <f t="array" aca="1" ref="L69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698" s="8">
        <f t="shared" ca="1" si="98"/>
        <v>3789</v>
      </c>
      <c r="N698" s="4" t="str" cm="1">
        <f t="array" aca="1" ref="N698" ca="1">INDEX({"New";"Repeat"}, RANDBETWEEN(1,2))</f>
        <v>Repeat</v>
      </c>
      <c r="O698" s="4" t="str" cm="1">
        <f t="array" aca="1" ref="O698" ca="1">INDEX({"Loan";"Cash";"Lease"}, RANDBETWEEN(1,3))</f>
        <v>Loan</v>
      </c>
    </row>
    <row r="699" spans="1:15" x14ac:dyDescent="0.2">
      <c r="A699" s="4">
        <v>697</v>
      </c>
      <c r="B699" s="5">
        <f t="shared" ca="1" si="90"/>
        <v>45151</v>
      </c>
      <c r="C699" s="4" t="str" cm="1">
        <f t="array" aca="1" ref="C699" ca="1">INDEX({"Cochin";"Delhi";"Mumbai";"Pune";"Bengaluru"}, RANDBETWEEN(1,5))</f>
        <v>Bengaluru</v>
      </c>
      <c r="D699" s="4" t="str" cm="1">
        <f t="array" aca="1" ref="D699" ca="1">INDEX({"C-Class";"E-Class";"S-Class";"GLA";"GLC";"GLE";"GLS";"EQB"}, RANDBETWEEN(1,8))</f>
        <v>GLC</v>
      </c>
      <c r="E699" s="4" t="str">
        <f t="shared" ca="1" si="91"/>
        <v>SUV</v>
      </c>
      <c r="F699" s="4">
        <f t="shared" ca="1" si="92"/>
        <v>5</v>
      </c>
      <c r="G699" s="8">
        <f t="shared" ca="1" si="93"/>
        <v>7296294</v>
      </c>
      <c r="H699" s="8">
        <f t="shared" ca="1" si="94"/>
        <v>36481470</v>
      </c>
      <c r="I699" s="8">
        <f t="shared" ca="1" si="95"/>
        <v>28090731.899999999</v>
      </c>
      <c r="J699" s="8">
        <f t="shared" ca="1" si="96"/>
        <v>8390738.1000000015</v>
      </c>
      <c r="K699" s="6">
        <f t="shared" ca="1" si="97"/>
        <v>0.23000000000000004</v>
      </c>
      <c r="L699" s="4" t="str" cm="1">
        <f t="array" aca="1" ref="L699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699" s="8">
        <f t="shared" ca="1" si="98"/>
        <v>23787</v>
      </c>
      <c r="N699" s="4" t="str" cm="1">
        <f t="array" aca="1" ref="N699" ca="1">INDEX({"New";"Repeat"}, RANDBETWEEN(1,2))</f>
        <v>New</v>
      </c>
      <c r="O699" s="4" t="str" cm="1">
        <f t="array" aca="1" ref="O699" ca="1">INDEX({"Loan";"Cash";"Lease"}, RANDBETWEEN(1,3))</f>
        <v>Lease</v>
      </c>
    </row>
    <row r="700" spans="1:15" x14ac:dyDescent="0.2">
      <c r="A700" s="4">
        <v>698</v>
      </c>
      <c r="B700" s="5">
        <f t="shared" ca="1" si="90"/>
        <v>44928</v>
      </c>
      <c r="C700" s="4" t="str" cm="1">
        <f t="array" aca="1" ref="C700" ca="1">INDEX({"Cochin";"Delhi";"Mumbai";"Pune";"Bengaluru"}, RANDBETWEEN(1,5))</f>
        <v>Mumbai</v>
      </c>
      <c r="D700" s="4" t="str" cm="1">
        <f t="array" aca="1" ref="D700" ca="1">INDEX({"C-Class";"E-Class";"S-Class";"GLA";"GLC";"GLE";"GLS";"EQB"}, RANDBETWEEN(1,8))</f>
        <v>GLS</v>
      </c>
      <c r="E700" s="4" t="str">
        <f t="shared" ca="1" si="91"/>
        <v>SUV</v>
      </c>
      <c r="F700" s="4">
        <f t="shared" ca="1" si="92"/>
        <v>2</v>
      </c>
      <c r="G700" s="8">
        <f t="shared" ca="1" si="93"/>
        <v>17596376</v>
      </c>
      <c r="H700" s="8">
        <f t="shared" ca="1" si="94"/>
        <v>35192752</v>
      </c>
      <c r="I700" s="8">
        <f t="shared" ca="1" si="95"/>
        <v>26394564</v>
      </c>
      <c r="J700" s="8">
        <f t="shared" ca="1" si="96"/>
        <v>8798188</v>
      </c>
      <c r="K700" s="6">
        <f t="shared" ca="1" si="97"/>
        <v>0.25</v>
      </c>
      <c r="L700" s="4" t="str" cm="1">
        <f t="array" aca="1" ref="L70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700" s="8">
        <f t="shared" ca="1" si="98"/>
        <v>4917</v>
      </c>
      <c r="N700" s="4" t="str" cm="1">
        <f t="array" aca="1" ref="N700" ca="1">INDEX({"New";"Repeat"}, RANDBETWEEN(1,2))</f>
        <v>Repeat</v>
      </c>
      <c r="O700" s="4" t="str" cm="1">
        <f t="array" aca="1" ref="O700" ca="1">INDEX({"Loan";"Cash";"Lease"}, RANDBETWEEN(1,3))</f>
        <v>Cash</v>
      </c>
    </row>
    <row r="701" spans="1:15" x14ac:dyDescent="0.2">
      <c r="A701" s="4">
        <v>699</v>
      </c>
      <c r="B701" s="5">
        <f t="shared" ca="1" si="90"/>
        <v>45393</v>
      </c>
      <c r="C701" s="4" t="str" cm="1">
        <f t="array" aca="1" ref="C701" ca="1">INDEX({"Cochin";"Delhi";"Mumbai";"Pune";"Bengaluru"}, RANDBETWEEN(1,5))</f>
        <v>Pune</v>
      </c>
      <c r="D701" s="4" t="str" cm="1">
        <f t="array" aca="1" ref="D701" ca="1">INDEX({"C-Class";"E-Class";"S-Class";"GLA";"GLC";"GLE";"GLS";"EQB"}, RANDBETWEEN(1,8))</f>
        <v>GLA</v>
      </c>
      <c r="E701" s="4" t="str">
        <f t="shared" ca="1" si="91"/>
        <v>SUV</v>
      </c>
      <c r="F701" s="4">
        <f t="shared" ca="1" si="92"/>
        <v>4</v>
      </c>
      <c r="G701" s="8">
        <f t="shared" ca="1" si="93"/>
        <v>5084722</v>
      </c>
      <c r="H701" s="8">
        <f t="shared" ca="1" si="94"/>
        <v>20338888</v>
      </c>
      <c r="I701" s="8">
        <f t="shared" ca="1" si="95"/>
        <v>14643999.359999999</v>
      </c>
      <c r="J701" s="8">
        <f t="shared" ca="1" si="96"/>
        <v>5694888.6400000006</v>
      </c>
      <c r="K701" s="6">
        <f t="shared" ca="1" si="97"/>
        <v>0.28000000000000003</v>
      </c>
      <c r="L701" s="4" t="str" cm="1">
        <f t="array" aca="1" ref="L70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01" s="8">
        <f t="shared" ca="1" si="98"/>
        <v>24944</v>
      </c>
      <c r="N701" s="4" t="str" cm="1">
        <f t="array" aca="1" ref="N701" ca="1">INDEX({"New";"Repeat"}, RANDBETWEEN(1,2))</f>
        <v>New</v>
      </c>
      <c r="O701" s="4" t="str" cm="1">
        <f t="array" aca="1" ref="O701" ca="1">INDEX({"Loan";"Cash";"Lease"}, RANDBETWEEN(1,3))</f>
        <v>Lease</v>
      </c>
    </row>
    <row r="702" spans="1:15" x14ac:dyDescent="0.2">
      <c r="A702" s="4">
        <v>700</v>
      </c>
      <c r="B702" s="5">
        <f t="shared" ca="1" si="90"/>
        <v>45543</v>
      </c>
      <c r="C702" s="4" t="str" cm="1">
        <f t="array" aca="1" ref="C702" ca="1">INDEX({"Cochin";"Delhi";"Mumbai";"Pune";"Bengaluru"}, RANDBETWEEN(1,5))</f>
        <v>Cochin</v>
      </c>
      <c r="D702" s="4" t="str" cm="1">
        <f t="array" aca="1" ref="D702" ca="1">INDEX({"C-Class";"E-Class";"S-Class";"GLA";"GLC";"GLE";"GLS";"EQB"}, RANDBETWEEN(1,8))</f>
        <v>S-Class</v>
      </c>
      <c r="E702" s="4" t="str">
        <f t="shared" ca="1" si="91"/>
        <v>Sedan</v>
      </c>
      <c r="F702" s="4">
        <f t="shared" ca="1" si="92"/>
        <v>2</v>
      </c>
      <c r="G702" s="8">
        <f t="shared" ca="1" si="93"/>
        <v>15951800</v>
      </c>
      <c r="H702" s="8">
        <f t="shared" ca="1" si="94"/>
        <v>31903600</v>
      </c>
      <c r="I702" s="8">
        <f t="shared" ca="1" si="95"/>
        <v>25203844</v>
      </c>
      <c r="J702" s="8">
        <f t="shared" ca="1" si="96"/>
        <v>6699756</v>
      </c>
      <c r="K702" s="6">
        <f t="shared" ca="1" si="97"/>
        <v>0.21</v>
      </c>
      <c r="L702" s="4" t="str" cm="1">
        <f t="array" aca="1" ref="L70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02" s="8">
        <f t="shared" ca="1" si="98"/>
        <v>18146</v>
      </c>
      <c r="N702" s="4" t="str" cm="1">
        <f t="array" aca="1" ref="N702" ca="1">INDEX({"New";"Repeat"}, RANDBETWEEN(1,2))</f>
        <v>New</v>
      </c>
      <c r="O702" s="4" t="str" cm="1">
        <f t="array" aca="1" ref="O702" ca="1">INDEX({"Loan";"Cash";"Lease"}, RANDBETWEEN(1,3))</f>
        <v>Loan</v>
      </c>
    </row>
    <row r="703" spans="1:15" x14ac:dyDescent="0.2">
      <c r="A703" s="4">
        <v>701</v>
      </c>
      <c r="B703" s="5">
        <f t="shared" ca="1" si="90"/>
        <v>45278</v>
      </c>
      <c r="C703" s="4" t="str" cm="1">
        <f t="array" aca="1" ref="C703" ca="1">INDEX({"Cochin";"Delhi";"Mumbai";"Pune";"Bengaluru"}, RANDBETWEEN(1,5))</f>
        <v>Mumbai</v>
      </c>
      <c r="D703" s="4" t="str" cm="1">
        <f t="array" aca="1" ref="D703" ca="1">INDEX({"C-Class";"E-Class";"S-Class";"GLA";"GLC";"GLE";"GLS";"EQB"}, RANDBETWEEN(1,8))</f>
        <v>EQB</v>
      </c>
      <c r="E703" s="4" t="str">
        <f t="shared" ca="1" si="91"/>
        <v>EV</v>
      </c>
      <c r="F703" s="4">
        <f t="shared" ca="1" si="92"/>
        <v>2</v>
      </c>
      <c r="G703" s="8">
        <f t="shared" ca="1" si="93"/>
        <v>7943215</v>
      </c>
      <c r="H703" s="8">
        <f t="shared" ca="1" si="94"/>
        <v>15886430</v>
      </c>
      <c r="I703" s="8">
        <f t="shared" ca="1" si="95"/>
        <v>11279365.300000001</v>
      </c>
      <c r="J703" s="8">
        <f t="shared" ca="1" si="96"/>
        <v>4607064.6999999993</v>
      </c>
      <c r="K703" s="6">
        <f t="shared" ca="1" si="97"/>
        <v>0.28999999999999998</v>
      </c>
      <c r="L703" s="4" t="str" cm="1">
        <f t="array" aca="1" ref="L703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703" s="8">
        <f t="shared" ca="1" si="98"/>
        <v>7955</v>
      </c>
      <c r="N703" s="4" t="str" cm="1">
        <f t="array" aca="1" ref="N703" ca="1">INDEX({"New";"Repeat"}, RANDBETWEEN(1,2))</f>
        <v>Repeat</v>
      </c>
      <c r="O703" s="4" t="str" cm="1">
        <f t="array" aca="1" ref="O703" ca="1">INDEX({"Loan";"Cash";"Lease"}, RANDBETWEEN(1,3))</f>
        <v>Cash</v>
      </c>
    </row>
    <row r="704" spans="1:15" x14ac:dyDescent="0.2">
      <c r="A704" s="4">
        <v>702</v>
      </c>
      <c r="B704" s="5">
        <f t="shared" ca="1" si="90"/>
        <v>45713</v>
      </c>
      <c r="C704" s="4" t="str" cm="1">
        <f t="array" aca="1" ref="C704" ca="1">INDEX({"Cochin";"Delhi";"Mumbai";"Pune";"Bengaluru"}, RANDBETWEEN(1,5))</f>
        <v>Mumbai</v>
      </c>
      <c r="D704" s="4" t="str" cm="1">
        <f t="array" aca="1" ref="D704" ca="1">INDEX({"C-Class";"E-Class";"S-Class";"GLA";"GLC";"GLE";"GLS";"EQB"}, RANDBETWEEN(1,8))</f>
        <v>C-Class</v>
      </c>
      <c r="E704" s="4" t="str">
        <f t="shared" ca="1" si="91"/>
        <v>Sedan</v>
      </c>
      <c r="F704" s="4">
        <f t="shared" ca="1" si="92"/>
        <v>4</v>
      </c>
      <c r="G704" s="8">
        <f t="shared" ca="1" si="93"/>
        <v>6537514</v>
      </c>
      <c r="H704" s="8">
        <f t="shared" ca="1" si="94"/>
        <v>26150056</v>
      </c>
      <c r="I704" s="8">
        <f t="shared" ca="1" si="95"/>
        <v>21181545.359999999</v>
      </c>
      <c r="J704" s="8">
        <f t="shared" ca="1" si="96"/>
        <v>4968510.6400000006</v>
      </c>
      <c r="K704" s="6">
        <f t="shared" ca="1" si="97"/>
        <v>0.19000000000000003</v>
      </c>
      <c r="L704" s="4" t="str" cm="1">
        <f t="array" aca="1" ref="L704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04" s="8">
        <f t="shared" ca="1" si="98"/>
        <v>5732</v>
      </c>
      <c r="N704" s="4" t="str" cm="1">
        <f t="array" aca="1" ref="N704" ca="1">INDEX({"New";"Repeat"}, RANDBETWEEN(1,2))</f>
        <v>Repeat</v>
      </c>
      <c r="O704" s="4" t="str" cm="1">
        <f t="array" aca="1" ref="O704" ca="1">INDEX({"Loan";"Cash";"Lease"}, RANDBETWEEN(1,3))</f>
        <v>Cash</v>
      </c>
    </row>
    <row r="705" spans="1:15" x14ac:dyDescent="0.2">
      <c r="A705" s="4">
        <v>703</v>
      </c>
      <c r="B705" s="5">
        <f t="shared" ca="1" si="90"/>
        <v>45135</v>
      </c>
      <c r="C705" s="4" t="str" cm="1">
        <f t="array" aca="1" ref="C705" ca="1">INDEX({"Cochin";"Delhi";"Mumbai";"Pune";"Bengaluru"}, RANDBETWEEN(1,5))</f>
        <v>Pune</v>
      </c>
      <c r="D705" s="4" t="str" cm="1">
        <f t="array" aca="1" ref="D705" ca="1">INDEX({"C-Class";"E-Class";"S-Class";"GLA";"GLC";"GLE";"GLS";"EQB"}, RANDBETWEEN(1,8))</f>
        <v>GLE</v>
      </c>
      <c r="E705" s="4" t="str">
        <f t="shared" ca="1" si="91"/>
        <v>SUV</v>
      </c>
      <c r="F705" s="4">
        <f t="shared" ca="1" si="92"/>
        <v>1</v>
      </c>
      <c r="G705" s="8">
        <f t="shared" ca="1" si="93"/>
        <v>11323832</v>
      </c>
      <c r="H705" s="8">
        <f t="shared" ca="1" si="94"/>
        <v>11323832</v>
      </c>
      <c r="I705" s="8">
        <f t="shared" ca="1" si="95"/>
        <v>8153159.04</v>
      </c>
      <c r="J705" s="8">
        <f t="shared" ca="1" si="96"/>
        <v>3170672.96</v>
      </c>
      <c r="K705" s="6">
        <f t="shared" ca="1" si="97"/>
        <v>0.27999999999999997</v>
      </c>
      <c r="L705" s="4" t="str" cm="1">
        <f t="array" aca="1" ref="L70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05" s="8">
        <f t="shared" ca="1" si="98"/>
        <v>4679</v>
      </c>
      <c r="N705" s="4" t="str" cm="1">
        <f t="array" aca="1" ref="N705" ca="1">INDEX({"New";"Repeat"}, RANDBETWEEN(1,2))</f>
        <v>Repeat</v>
      </c>
      <c r="O705" s="4" t="str" cm="1">
        <f t="array" aca="1" ref="O705" ca="1">INDEX({"Loan";"Cash";"Lease"}, RANDBETWEEN(1,3))</f>
        <v>Lease</v>
      </c>
    </row>
    <row r="706" spans="1:15" x14ac:dyDescent="0.2">
      <c r="A706" s="4">
        <v>704</v>
      </c>
      <c r="B706" s="5">
        <f t="shared" ca="1" si="90"/>
        <v>45651</v>
      </c>
      <c r="C706" s="4" t="str" cm="1">
        <f t="array" aca="1" ref="C706" ca="1">INDEX({"Cochin";"Delhi";"Mumbai";"Pune";"Bengaluru"}, RANDBETWEEN(1,5))</f>
        <v>Mumbai</v>
      </c>
      <c r="D706" s="4" t="str" cm="1">
        <f t="array" aca="1" ref="D706" ca="1">INDEX({"C-Class";"E-Class";"S-Class";"GLA";"GLC";"GLE";"GLS";"EQB"}, RANDBETWEEN(1,8))</f>
        <v>S-Class</v>
      </c>
      <c r="E706" s="4" t="str">
        <f t="shared" ca="1" si="91"/>
        <v>Sedan</v>
      </c>
      <c r="F706" s="4">
        <f t="shared" ca="1" si="92"/>
        <v>5</v>
      </c>
      <c r="G706" s="8">
        <f t="shared" ca="1" si="93"/>
        <v>23094650</v>
      </c>
      <c r="H706" s="8">
        <f t="shared" ca="1" si="94"/>
        <v>115473250</v>
      </c>
      <c r="I706" s="8">
        <f t="shared" ca="1" si="95"/>
        <v>80831275</v>
      </c>
      <c r="J706" s="8">
        <f t="shared" ca="1" si="96"/>
        <v>34641975</v>
      </c>
      <c r="K706" s="6">
        <f t="shared" ca="1" si="97"/>
        <v>0.3</v>
      </c>
      <c r="L706" s="4" t="str" cm="1">
        <f t="array" aca="1" ref="L706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06" s="8">
        <f t="shared" ca="1" si="98"/>
        <v>17744</v>
      </c>
      <c r="N706" s="4" t="str" cm="1">
        <f t="array" aca="1" ref="N706" ca="1">INDEX({"New";"Repeat"}, RANDBETWEEN(1,2))</f>
        <v>New</v>
      </c>
      <c r="O706" s="4" t="str" cm="1">
        <f t="array" aca="1" ref="O706" ca="1">INDEX({"Loan";"Cash";"Lease"}, RANDBETWEEN(1,3))</f>
        <v>Loan</v>
      </c>
    </row>
    <row r="707" spans="1:15" x14ac:dyDescent="0.2">
      <c r="A707" s="4">
        <v>705</v>
      </c>
      <c r="B707" s="5">
        <f t="shared" ca="1" si="90"/>
        <v>44934</v>
      </c>
      <c r="C707" s="4" t="str" cm="1">
        <f t="array" aca="1" ref="C707" ca="1">INDEX({"Cochin";"Delhi";"Mumbai";"Pune";"Bengaluru"}, RANDBETWEEN(1,5))</f>
        <v>Cochin</v>
      </c>
      <c r="D707" s="4" t="str" cm="1">
        <f t="array" aca="1" ref="D707" ca="1">INDEX({"C-Class";"E-Class";"S-Class";"GLA";"GLC";"GLE";"GLS";"EQB"}, RANDBETWEEN(1,8))</f>
        <v>GLC</v>
      </c>
      <c r="E707" s="4" t="str">
        <f t="shared" ca="1" si="91"/>
        <v>SUV</v>
      </c>
      <c r="F707" s="4">
        <f t="shared" ca="1" si="92"/>
        <v>2</v>
      </c>
      <c r="G707" s="8">
        <f t="shared" ca="1" si="93"/>
        <v>7268767</v>
      </c>
      <c r="H707" s="8">
        <f t="shared" ca="1" si="94"/>
        <v>14537534</v>
      </c>
      <c r="I707" s="8">
        <f t="shared" ca="1" si="95"/>
        <v>12356903.9</v>
      </c>
      <c r="J707" s="8">
        <f t="shared" ca="1" si="96"/>
        <v>2180630.0999999996</v>
      </c>
      <c r="K707" s="6">
        <f t="shared" ca="1" si="97"/>
        <v>0.14999999999999997</v>
      </c>
      <c r="L707" s="4" t="str" cm="1">
        <f t="array" aca="1" ref="L707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07" s="8">
        <f t="shared" ca="1" si="98"/>
        <v>11744</v>
      </c>
      <c r="N707" s="4" t="str" cm="1">
        <f t="array" aca="1" ref="N707" ca="1">INDEX({"New";"Repeat"}, RANDBETWEEN(1,2))</f>
        <v>New</v>
      </c>
      <c r="O707" s="4" t="str" cm="1">
        <f t="array" aca="1" ref="O707" ca="1">INDEX({"Loan";"Cash";"Lease"}, RANDBETWEEN(1,3))</f>
        <v>Lease</v>
      </c>
    </row>
    <row r="708" spans="1:15" x14ac:dyDescent="0.2">
      <c r="A708" s="4">
        <v>706</v>
      </c>
      <c r="B708" s="5">
        <f t="shared" ref="B708:B771" ca="1" si="99">RANDBETWEEN(DATE(2023,1,1),DATE(2025,9,1))</f>
        <v>45788</v>
      </c>
      <c r="C708" s="4" t="str" cm="1">
        <f t="array" aca="1" ref="C708" ca="1">INDEX({"Cochin";"Delhi";"Mumbai";"Pune";"Bengaluru"}, RANDBETWEEN(1,5))</f>
        <v>Delhi</v>
      </c>
      <c r="D708" s="4" t="str" cm="1">
        <f t="array" aca="1" ref="D708" ca="1">INDEX({"C-Class";"E-Class";"S-Class";"GLA";"GLC";"GLE";"GLS";"EQB"}, RANDBETWEEN(1,8))</f>
        <v>GLE</v>
      </c>
      <c r="E708" s="4" t="str">
        <f t="shared" ref="E708:E771" ca="1" si="100">IF(D708="EQB","EV", IF(OR(D708="GLA",D708="GLC",D708="GLE",D708="GLS"),"SUV","Sedan"))</f>
        <v>SUV</v>
      </c>
      <c r="F708" s="4">
        <f t="shared" ref="F708:F771" ca="1" si="101">RANDBETWEEN(1,5)</f>
        <v>1</v>
      </c>
      <c r="G708" s="8">
        <f t="shared" ref="G708:G771" ca="1" si="102">IF(D708="C-Class",RANDBETWEEN(5500000,7000000),
IF(D708="E-Class",RANDBETWEEN(7500000,9500000),
IF(D708="S-Class",RANDBETWEEN(15000000,25000000),
IF(D708="GLA",RANDBETWEEN(4500000,5500000),
IF(D708="GLC",RANDBETWEEN(6500000,7500000),
IF(D708="GLE",RANDBETWEEN(9000000,13000000),
IF(D708="GLS",RANDBETWEEN(13000000,18000000),
IF(D708="EQB",RANDBETWEEN(7000000,8000000)))))))))</f>
        <v>10574830</v>
      </c>
      <c r="H708" s="8">
        <f t="shared" ref="H708:H771" ca="1" si="103">F708*G708</f>
        <v>10574830</v>
      </c>
      <c r="I708" s="8">
        <f t="shared" ref="I708:I771" ca="1" si="104">G708 *F708* RANDBETWEEN(70,85) / 100</f>
        <v>8671360.5999999996</v>
      </c>
      <c r="J708" s="8">
        <f t="shared" ref="J708:J771" ca="1" si="105">H708 -I708</f>
        <v>1903469.4000000004</v>
      </c>
      <c r="K708" s="6">
        <f t="shared" ref="K708:K771" ca="1" si="106">J708/H708</f>
        <v>0.18000000000000005</v>
      </c>
      <c r="L708" s="4" t="str" cm="1">
        <f t="array" aca="1" ref="L70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08" s="8">
        <f t="shared" ref="M708:M771" ca="1" si="107">IF(N708="New", RANDBETWEEN(10000,25000), RANDBETWEEN(3000,8000))</f>
        <v>19089</v>
      </c>
      <c r="N708" s="4" t="str" cm="1">
        <f t="array" aca="1" ref="N708" ca="1">INDEX({"New";"Repeat"}, RANDBETWEEN(1,2))</f>
        <v>New</v>
      </c>
      <c r="O708" s="4" t="str" cm="1">
        <f t="array" aca="1" ref="O708" ca="1">INDEX({"Loan";"Cash";"Lease"}, RANDBETWEEN(1,3))</f>
        <v>Lease</v>
      </c>
    </row>
    <row r="709" spans="1:15" x14ac:dyDescent="0.2">
      <c r="A709" s="4">
        <v>707</v>
      </c>
      <c r="B709" s="5">
        <f t="shared" ca="1" si="99"/>
        <v>45342</v>
      </c>
      <c r="C709" s="4" t="str" cm="1">
        <f t="array" aca="1" ref="C709" ca="1">INDEX({"Cochin";"Delhi";"Mumbai";"Pune";"Bengaluru"}, RANDBETWEEN(1,5))</f>
        <v>Pune</v>
      </c>
      <c r="D709" s="4" t="str" cm="1">
        <f t="array" aca="1" ref="D709" ca="1">INDEX({"C-Class";"E-Class";"S-Class";"GLA";"GLC";"GLE";"GLS";"EQB"}, RANDBETWEEN(1,8))</f>
        <v>EQB</v>
      </c>
      <c r="E709" s="4" t="str">
        <f t="shared" ca="1" si="100"/>
        <v>EV</v>
      </c>
      <c r="F709" s="4">
        <f t="shared" ca="1" si="101"/>
        <v>5</v>
      </c>
      <c r="G709" s="8">
        <f t="shared" ca="1" si="102"/>
        <v>7950419</v>
      </c>
      <c r="H709" s="8">
        <f t="shared" ca="1" si="103"/>
        <v>39752095</v>
      </c>
      <c r="I709" s="8">
        <f t="shared" ca="1" si="104"/>
        <v>32596717.899999999</v>
      </c>
      <c r="J709" s="8">
        <f t="shared" ca="1" si="105"/>
        <v>7155377.1000000015</v>
      </c>
      <c r="K709" s="6">
        <f t="shared" ca="1" si="106"/>
        <v>0.18000000000000005</v>
      </c>
      <c r="L709" s="4" t="str" cm="1">
        <f t="array" aca="1" ref="L70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09" s="8">
        <f t="shared" ca="1" si="107"/>
        <v>10665</v>
      </c>
      <c r="N709" s="4" t="str" cm="1">
        <f t="array" aca="1" ref="N709" ca="1">INDEX({"New";"Repeat"}, RANDBETWEEN(1,2))</f>
        <v>New</v>
      </c>
      <c r="O709" s="4" t="str" cm="1">
        <f t="array" aca="1" ref="O709" ca="1">INDEX({"Loan";"Cash";"Lease"}, RANDBETWEEN(1,3))</f>
        <v>Lease</v>
      </c>
    </row>
    <row r="710" spans="1:15" x14ac:dyDescent="0.2">
      <c r="A710" s="4">
        <v>708</v>
      </c>
      <c r="B710" s="5">
        <f t="shared" ca="1" si="99"/>
        <v>45714</v>
      </c>
      <c r="C710" s="4" t="str" cm="1">
        <f t="array" aca="1" ref="C710" ca="1">INDEX({"Cochin";"Delhi";"Mumbai";"Pune";"Bengaluru"}, RANDBETWEEN(1,5))</f>
        <v>Mumbai</v>
      </c>
      <c r="D710" s="4" t="str" cm="1">
        <f t="array" aca="1" ref="D710" ca="1">INDEX({"C-Class";"E-Class";"S-Class";"GLA";"GLC";"GLE";"GLS";"EQB"}, RANDBETWEEN(1,8))</f>
        <v>GLC</v>
      </c>
      <c r="E710" s="4" t="str">
        <f t="shared" ca="1" si="100"/>
        <v>SUV</v>
      </c>
      <c r="F710" s="4">
        <f t="shared" ca="1" si="101"/>
        <v>5</v>
      </c>
      <c r="G710" s="8">
        <f t="shared" ca="1" si="102"/>
        <v>6662002</v>
      </c>
      <c r="H710" s="8">
        <f t="shared" ca="1" si="103"/>
        <v>33310010</v>
      </c>
      <c r="I710" s="8">
        <f t="shared" ca="1" si="104"/>
        <v>27647308.300000001</v>
      </c>
      <c r="J710" s="8">
        <f t="shared" ca="1" si="105"/>
        <v>5662701.6999999993</v>
      </c>
      <c r="K710" s="6">
        <f t="shared" ca="1" si="106"/>
        <v>0.16999999999999998</v>
      </c>
      <c r="L710" s="4" t="str" cm="1">
        <f t="array" aca="1" ref="L71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10" s="8">
        <f t="shared" ca="1" si="107"/>
        <v>20065</v>
      </c>
      <c r="N710" s="4" t="str" cm="1">
        <f t="array" aca="1" ref="N710" ca="1">INDEX({"New";"Repeat"}, RANDBETWEEN(1,2))</f>
        <v>New</v>
      </c>
      <c r="O710" s="4" t="str" cm="1">
        <f t="array" aca="1" ref="O710" ca="1">INDEX({"Loan";"Cash";"Lease"}, RANDBETWEEN(1,3))</f>
        <v>Cash</v>
      </c>
    </row>
    <row r="711" spans="1:15" x14ac:dyDescent="0.2">
      <c r="A711" s="4">
        <v>709</v>
      </c>
      <c r="B711" s="5">
        <f t="shared" ca="1" si="99"/>
        <v>45097</v>
      </c>
      <c r="C711" s="4" t="str" cm="1">
        <f t="array" aca="1" ref="C711" ca="1">INDEX({"Cochin";"Delhi";"Mumbai";"Pune";"Bengaluru"}, RANDBETWEEN(1,5))</f>
        <v>Pune</v>
      </c>
      <c r="D711" s="4" t="str" cm="1">
        <f t="array" aca="1" ref="D711" ca="1">INDEX({"C-Class";"E-Class";"S-Class";"GLA";"GLC";"GLE";"GLS";"EQB"}, RANDBETWEEN(1,8))</f>
        <v>GLS</v>
      </c>
      <c r="E711" s="4" t="str">
        <f t="shared" ca="1" si="100"/>
        <v>SUV</v>
      </c>
      <c r="F711" s="4">
        <f t="shared" ca="1" si="101"/>
        <v>5</v>
      </c>
      <c r="G711" s="8">
        <f t="shared" ca="1" si="102"/>
        <v>17149925</v>
      </c>
      <c r="H711" s="8">
        <f t="shared" ca="1" si="103"/>
        <v>85749625</v>
      </c>
      <c r="I711" s="8">
        <f t="shared" ca="1" si="104"/>
        <v>68599700</v>
      </c>
      <c r="J711" s="8">
        <f t="shared" ca="1" si="105"/>
        <v>17149925</v>
      </c>
      <c r="K711" s="6">
        <f t="shared" ca="1" si="106"/>
        <v>0.2</v>
      </c>
      <c r="L711" s="4" t="str" cm="1">
        <f t="array" aca="1" ref="L711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11" s="8">
        <f t="shared" ca="1" si="107"/>
        <v>5074</v>
      </c>
      <c r="N711" s="4" t="str" cm="1">
        <f t="array" aca="1" ref="N711" ca="1">INDEX({"New";"Repeat"}, RANDBETWEEN(1,2))</f>
        <v>Repeat</v>
      </c>
      <c r="O711" s="4" t="str" cm="1">
        <f t="array" aca="1" ref="O711" ca="1">INDEX({"Loan";"Cash";"Lease"}, RANDBETWEEN(1,3))</f>
        <v>Cash</v>
      </c>
    </row>
    <row r="712" spans="1:15" x14ac:dyDescent="0.2">
      <c r="A712" s="4">
        <v>710</v>
      </c>
      <c r="B712" s="5">
        <f t="shared" ca="1" si="99"/>
        <v>45129</v>
      </c>
      <c r="C712" s="4" t="str" cm="1">
        <f t="array" aca="1" ref="C712" ca="1">INDEX({"Cochin";"Delhi";"Mumbai";"Pune";"Bengaluru"}, RANDBETWEEN(1,5))</f>
        <v>Delhi</v>
      </c>
      <c r="D712" s="4" t="str" cm="1">
        <f t="array" aca="1" ref="D712" ca="1">INDEX({"C-Class";"E-Class";"S-Class";"GLA";"GLC";"GLE";"GLS";"EQB"}, RANDBETWEEN(1,8))</f>
        <v>E-Class</v>
      </c>
      <c r="E712" s="4" t="str">
        <f t="shared" ca="1" si="100"/>
        <v>Sedan</v>
      </c>
      <c r="F712" s="4">
        <f t="shared" ca="1" si="101"/>
        <v>5</v>
      </c>
      <c r="G712" s="8">
        <f t="shared" ca="1" si="102"/>
        <v>7769807</v>
      </c>
      <c r="H712" s="8">
        <f t="shared" ca="1" si="103"/>
        <v>38849035</v>
      </c>
      <c r="I712" s="8">
        <f t="shared" ca="1" si="104"/>
        <v>29913756.949999999</v>
      </c>
      <c r="J712" s="8">
        <f t="shared" ca="1" si="105"/>
        <v>8935278.0500000007</v>
      </c>
      <c r="K712" s="6">
        <f t="shared" ca="1" si="106"/>
        <v>0.23</v>
      </c>
      <c r="L712" s="4" t="str" cm="1">
        <f t="array" aca="1" ref="L71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712" s="8">
        <f t="shared" ca="1" si="107"/>
        <v>14566</v>
      </c>
      <c r="N712" s="4" t="str" cm="1">
        <f t="array" aca="1" ref="N712" ca="1">INDEX({"New";"Repeat"}, RANDBETWEEN(1,2))</f>
        <v>New</v>
      </c>
      <c r="O712" s="4" t="str" cm="1">
        <f t="array" aca="1" ref="O712" ca="1">INDEX({"Loan";"Cash";"Lease"}, RANDBETWEEN(1,3))</f>
        <v>Loan</v>
      </c>
    </row>
    <row r="713" spans="1:15" x14ac:dyDescent="0.2">
      <c r="A713" s="4">
        <v>711</v>
      </c>
      <c r="B713" s="5">
        <f t="shared" ca="1" si="99"/>
        <v>45439</v>
      </c>
      <c r="C713" s="4" t="str" cm="1">
        <f t="array" aca="1" ref="C713" ca="1">INDEX({"Cochin";"Delhi";"Mumbai";"Pune";"Bengaluru"}, RANDBETWEEN(1,5))</f>
        <v>Delhi</v>
      </c>
      <c r="D713" s="4" t="str" cm="1">
        <f t="array" aca="1" ref="D713" ca="1">INDEX({"C-Class";"E-Class";"S-Class";"GLA";"GLC";"GLE";"GLS";"EQB"}, RANDBETWEEN(1,8))</f>
        <v>GLC</v>
      </c>
      <c r="E713" s="4" t="str">
        <f t="shared" ca="1" si="100"/>
        <v>SUV</v>
      </c>
      <c r="F713" s="4">
        <f t="shared" ca="1" si="101"/>
        <v>5</v>
      </c>
      <c r="G713" s="8">
        <f t="shared" ca="1" si="102"/>
        <v>7074936</v>
      </c>
      <c r="H713" s="8">
        <f t="shared" ca="1" si="103"/>
        <v>35374680</v>
      </c>
      <c r="I713" s="8">
        <f t="shared" ca="1" si="104"/>
        <v>29007237.600000001</v>
      </c>
      <c r="J713" s="8">
        <f t="shared" ca="1" si="105"/>
        <v>6367442.3999999985</v>
      </c>
      <c r="K713" s="6">
        <f t="shared" ca="1" si="106"/>
        <v>0.17999999999999997</v>
      </c>
      <c r="L713" s="4" t="str" cm="1">
        <f t="array" aca="1" ref="L71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13" s="8">
        <f t="shared" ca="1" si="107"/>
        <v>24231</v>
      </c>
      <c r="N713" s="4" t="str" cm="1">
        <f t="array" aca="1" ref="N713" ca="1">INDEX({"New";"Repeat"}, RANDBETWEEN(1,2))</f>
        <v>New</v>
      </c>
      <c r="O713" s="4" t="str" cm="1">
        <f t="array" aca="1" ref="O713" ca="1">INDEX({"Loan";"Cash";"Lease"}, RANDBETWEEN(1,3))</f>
        <v>Lease</v>
      </c>
    </row>
    <row r="714" spans="1:15" x14ac:dyDescent="0.2">
      <c r="A714" s="4">
        <v>712</v>
      </c>
      <c r="B714" s="5">
        <f t="shared" ca="1" si="99"/>
        <v>45482</v>
      </c>
      <c r="C714" s="4" t="str" cm="1">
        <f t="array" aca="1" ref="C714" ca="1">INDEX({"Cochin";"Delhi";"Mumbai";"Pune";"Bengaluru"}, RANDBETWEEN(1,5))</f>
        <v>Delhi</v>
      </c>
      <c r="D714" s="4" t="str" cm="1">
        <f t="array" aca="1" ref="D714" ca="1">INDEX({"C-Class";"E-Class";"S-Class";"GLA";"GLC";"GLE";"GLS";"EQB"}, RANDBETWEEN(1,8))</f>
        <v>GLA</v>
      </c>
      <c r="E714" s="4" t="str">
        <f t="shared" ca="1" si="100"/>
        <v>SUV</v>
      </c>
      <c r="F714" s="4">
        <f t="shared" ca="1" si="101"/>
        <v>2</v>
      </c>
      <c r="G714" s="8">
        <f t="shared" ca="1" si="102"/>
        <v>5164095</v>
      </c>
      <c r="H714" s="8">
        <f t="shared" ca="1" si="103"/>
        <v>10328190</v>
      </c>
      <c r="I714" s="8">
        <f t="shared" ca="1" si="104"/>
        <v>7849424.4000000004</v>
      </c>
      <c r="J714" s="8">
        <f t="shared" ca="1" si="105"/>
        <v>2478765.5999999996</v>
      </c>
      <c r="K714" s="6">
        <f t="shared" ca="1" si="106"/>
        <v>0.23999999999999996</v>
      </c>
      <c r="L714" s="4" t="str" cm="1">
        <f t="array" aca="1" ref="L71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14" s="8">
        <f t="shared" ca="1" si="107"/>
        <v>6186</v>
      </c>
      <c r="N714" s="4" t="str" cm="1">
        <f t="array" aca="1" ref="N714" ca="1">INDEX({"New";"Repeat"}, RANDBETWEEN(1,2))</f>
        <v>Repeat</v>
      </c>
      <c r="O714" s="4" t="str" cm="1">
        <f t="array" aca="1" ref="O714" ca="1">INDEX({"Loan";"Cash";"Lease"}, RANDBETWEEN(1,3))</f>
        <v>Lease</v>
      </c>
    </row>
    <row r="715" spans="1:15" x14ac:dyDescent="0.2">
      <c r="A715" s="4">
        <v>713</v>
      </c>
      <c r="B715" s="5">
        <f t="shared" ca="1" si="99"/>
        <v>45843</v>
      </c>
      <c r="C715" s="4" t="str" cm="1">
        <f t="array" aca="1" ref="C715" ca="1">INDEX({"Cochin";"Delhi";"Mumbai";"Pune";"Bengaluru"}, RANDBETWEEN(1,5))</f>
        <v>Mumbai</v>
      </c>
      <c r="D715" s="4" t="str" cm="1">
        <f t="array" aca="1" ref="D715" ca="1">INDEX({"C-Class";"E-Class";"S-Class";"GLA";"GLC";"GLE";"GLS";"EQB"}, RANDBETWEEN(1,8))</f>
        <v>GLS</v>
      </c>
      <c r="E715" s="4" t="str">
        <f t="shared" ca="1" si="100"/>
        <v>SUV</v>
      </c>
      <c r="F715" s="4">
        <f t="shared" ca="1" si="101"/>
        <v>4</v>
      </c>
      <c r="G715" s="8">
        <f t="shared" ca="1" si="102"/>
        <v>17263518</v>
      </c>
      <c r="H715" s="8">
        <f t="shared" ca="1" si="103"/>
        <v>69054072</v>
      </c>
      <c r="I715" s="8">
        <f t="shared" ca="1" si="104"/>
        <v>48337850.399999999</v>
      </c>
      <c r="J715" s="8">
        <f t="shared" ca="1" si="105"/>
        <v>20716221.600000001</v>
      </c>
      <c r="K715" s="6">
        <f t="shared" ca="1" si="106"/>
        <v>0.30000000000000004</v>
      </c>
      <c r="L715" s="4" t="str" cm="1">
        <f t="array" aca="1" ref="L71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15" s="8">
        <f t="shared" ca="1" si="107"/>
        <v>4605</v>
      </c>
      <c r="N715" s="4" t="str" cm="1">
        <f t="array" aca="1" ref="N715" ca="1">INDEX({"New";"Repeat"}, RANDBETWEEN(1,2))</f>
        <v>Repeat</v>
      </c>
      <c r="O715" s="4" t="str" cm="1">
        <f t="array" aca="1" ref="O715" ca="1">INDEX({"Loan";"Cash";"Lease"}, RANDBETWEEN(1,3))</f>
        <v>Loan</v>
      </c>
    </row>
    <row r="716" spans="1:15" x14ac:dyDescent="0.2">
      <c r="A716" s="4">
        <v>714</v>
      </c>
      <c r="B716" s="5">
        <f t="shared" ca="1" si="99"/>
        <v>44996</v>
      </c>
      <c r="C716" s="4" t="str" cm="1">
        <f t="array" aca="1" ref="C716" ca="1">INDEX({"Cochin";"Delhi";"Mumbai";"Pune";"Bengaluru"}, RANDBETWEEN(1,5))</f>
        <v>Delhi</v>
      </c>
      <c r="D716" s="4" t="str" cm="1">
        <f t="array" aca="1" ref="D716" ca="1">INDEX({"C-Class";"E-Class";"S-Class";"GLA";"GLC";"GLE";"GLS";"EQB"}, RANDBETWEEN(1,8))</f>
        <v>GLS</v>
      </c>
      <c r="E716" s="4" t="str">
        <f t="shared" ca="1" si="100"/>
        <v>SUV</v>
      </c>
      <c r="F716" s="4">
        <f t="shared" ca="1" si="101"/>
        <v>3</v>
      </c>
      <c r="G716" s="8">
        <f t="shared" ca="1" si="102"/>
        <v>17588923</v>
      </c>
      <c r="H716" s="8">
        <f t="shared" ca="1" si="103"/>
        <v>52766769</v>
      </c>
      <c r="I716" s="8">
        <f t="shared" ca="1" si="104"/>
        <v>40630412.130000003</v>
      </c>
      <c r="J716" s="8">
        <f t="shared" ca="1" si="105"/>
        <v>12136356.869999997</v>
      </c>
      <c r="K716" s="6">
        <f t="shared" ca="1" si="106"/>
        <v>0.22999999999999995</v>
      </c>
      <c r="L716" s="4" t="str" cm="1">
        <f t="array" aca="1" ref="L71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716" s="8">
        <f t="shared" ca="1" si="107"/>
        <v>23946</v>
      </c>
      <c r="N716" s="4" t="str" cm="1">
        <f t="array" aca="1" ref="N716" ca="1">INDEX({"New";"Repeat"}, RANDBETWEEN(1,2))</f>
        <v>New</v>
      </c>
      <c r="O716" s="4" t="str" cm="1">
        <f t="array" aca="1" ref="O716" ca="1">INDEX({"Loan";"Cash";"Lease"}, RANDBETWEEN(1,3))</f>
        <v>Lease</v>
      </c>
    </row>
    <row r="717" spans="1:15" x14ac:dyDescent="0.2">
      <c r="A717" s="4">
        <v>715</v>
      </c>
      <c r="B717" s="5">
        <f t="shared" ca="1" si="99"/>
        <v>45426</v>
      </c>
      <c r="C717" s="4" t="str" cm="1">
        <f t="array" aca="1" ref="C717" ca="1">INDEX({"Cochin";"Delhi";"Mumbai";"Pune";"Bengaluru"}, RANDBETWEEN(1,5))</f>
        <v>Delhi</v>
      </c>
      <c r="D717" s="4" t="str" cm="1">
        <f t="array" aca="1" ref="D717" ca="1">INDEX({"C-Class";"E-Class";"S-Class";"GLA";"GLC";"GLE";"GLS";"EQB"}, RANDBETWEEN(1,8))</f>
        <v>S-Class</v>
      </c>
      <c r="E717" s="4" t="str">
        <f t="shared" ca="1" si="100"/>
        <v>Sedan</v>
      </c>
      <c r="F717" s="4">
        <f t="shared" ca="1" si="101"/>
        <v>4</v>
      </c>
      <c r="G717" s="8">
        <f t="shared" ca="1" si="102"/>
        <v>21910006</v>
      </c>
      <c r="H717" s="8">
        <f t="shared" ca="1" si="103"/>
        <v>87640024</v>
      </c>
      <c r="I717" s="8">
        <f t="shared" ca="1" si="104"/>
        <v>63977217.520000003</v>
      </c>
      <c r="J717" s="8">
        <f t="shared" ca="1" si="105"/>
        <v>23662806.479999997</v>
      </c>
      <c r="K717" s="6">
        <f t="shared" ca="1" si="106"/>
        <v>0.26999999999999996</v>
      </c>
      <c r="L717" s="4" t="str" cm="1">
        <f t="array" aca="1" ref="L71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717" s="8">
        <f t="shared" ca="1" si="107"/>
        <v>7506</v>
      </c>
      <c r="N717" s="4" t="str" cm="1">
        <f t="array" aca="1" ref="N717" ca="1">INDEX({"New";"Repeat"}, RANDBETWEEN(1,2))</f>
        <v>Repeat</v>
      </c>
      <c r="O717" s="4" t="str" cm="1">
        <f t="array" aca="1" ref="O717" ca="1">INDEX({"Loan";"Cash";"Lease"}, RANDBETWEEN(1,3))</f>
        <v>Cash</v>
      </c>
    </row>
    <row r="718" spans="1:15" x14ac:dyDescent="0.2">
      <c r="A718" s="4">
        <v>716</v>
      </c>
      <c r="B718" s="5">
        <f t="shared" ca="1" si="99"/>
        <v>45614</v>
      </c>
      <c r="C718" s="4" t="str" cm="1">
        <f t="array" aca="1" ref="C718" ca="1">INDEX({"Cochin";"Delhi";"Mumbai";"Pune";"Bengaluru"}, RANDBETWEEN(1,5))</f>
        <v>Delhi</v>
      </c>
      <c r="D718" s="4" t="str" cm="1">
        <f t="array" aca="1" ref="D718" ca="1">INDEX({"C-Class";"E-Class";"S-Class";"GLA";"GLC";"GLE";"GLS";"EQB"}, RANDBETWEEN(1,8))</f>
        <v>E-Class</v>
      </c>
      <c r="E718" s="4" t="str">
        <f t="shared" ca="1" si="100"/>
        <v>Sedan</v>
      </c>
      <c r="F718" s="4">
        <f t="shared" ca="1" si="101"/>
        <v>3</v>
      </c>
      <c r="G718" s="8">
        <f t="shared" ca="1" si="102"/>
        <v>9025211</v>
      </c>
      <c r="H718" s="8">
        <f t="shared" ca="1" si="103"/>
        <v>27075633</v>
      </c>
      <c r="I718" s="8">
        <f t="shared" ca="1" si="104"/>
        <v>20848237.41</v>
      </c>
      <c r="J718" s="8">
        <f t="shared" ca="1" si="105"/>
        <v>6227395.5899999999</v>
      </c>
      <c r="K718" s="6">
        <f t="shared" ca="1" si="106"/>
        <v>0.22999999999999998</v>
      </c>
      <c r="L718" s="4" t="str" cm="1">
        <f t="array" aca="1" ref="L718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18" s="8">
        <f t="shared" ca="1" si="107"/>
        <v>11846</v>
      </c>
      <c r="N718" s="4" t="str" cm="1">
        <f t="array" aca="1" ref="N718" ca="1">INDEX({"New";"Repeat"}, RANDBETWEEN(1,2))</f>
        <v>New</v>
      </c>
      <c r="O718" s="4" t="str" cm="1">
        <f t="array" aca="1" ref="O718" ca="1">INDEX({"Loan";"Cash";"Lease"}, RANDBETWEEN(1,3))</f>
        <v>Lease</v>
      </c>
    </row>
    <row r="719" spans="1:15" x14ac:dyDescent="0.2">
      <c r="A719" s="4">
        <v>717</v>
      </c>
      <c r="B719" s="5">
        <f t="shared" ca="1" si="99"/>
        <v>45566</v>
      </c>
      <c r="C719" s="4" t="str" cm="1">
        <f t="array" aca="1" ref="C719" ca="1">INDEX({"Cochin";"Delhi";"Mumbai";"Pune";"Bengaluru"}, RANDBETWEEN(1,5))</f>
        <v>Mumbai</v>
      </c>
      <c r="D719" s="4" t="str" cm="1">
        <f t="array" aca="1" ref="D719" ca="1">INDEX({"C-Class";"E-Class";"S-Class";"GLA";"GLC";"GLE";"GLS";"EQB"}, RANDBETWEEN(1,8))</f>
        <v>GLE</v>
      </c>
      <c r="E719" s="4" t="str">
        <f t="shared" ca="1" si="100"/>
        <v>SUV</v>
      </c>
      <c r="F719" s="4">
        <f t="shared" ca="1" si="101"/>
        <v>5</v>
      </c>
      <c r="G719" s="8">
        <f t="shared" ca="1" si="102"/>
        <v>9519189</v>
      </c>
      <c r="H719" s="8">
        <f t="shared" ca="1" si="103"/>
        <v>47595945</v>
      </c>
      <c r="I719" s="8">
        <f t="shared" ca="1" si="104"/>
        <v>34269080.399999999</v>
      </c>
      <c r="J719" s="8">
        <f t="shared" ca="1" si="105"/>
        <v>13326864.600000001</v>
      </c>
      <c r="K719" s="6">
        <f t="shared" ca="1" si="106"/>
        <v>0.28000000000000003</v>
      </c>
      <c r="L719" s="4" t="str" cm="1">
        <f t="array" aca="1" ref="L719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19" s="8">
        <f t="shared" ca="1" si="107"/>
        <v>16984</v>
      </c>
      <c r="N719" s="4" t="str" cm="1">
        <f t="array" aca="1" ref="N719" ca="1">INDEX({"New";"Repeat"}, RANDBETWEEN(1,2))</f>
        <v>New</v>
      </c>
      <c r="O719" s="4" t="str" cm="1">
        <f t="array" aca="1" ref="O719" ca="1">INDEX({"Loan";"Cash";"Lease"}, RANDBETWEEN(1,3))</f>
        <v>Lease</v>
      </c>
    </row>
    <row r="720" spans="1:15" x14ac:dyDescent="0.2">
      <c r="A720" s="4">
        <v>718</v>
      </c>
      <c r="B720" s="5">
        <f t="shared" ca="1" si="99"/>
        <v>45182</v>
      </c>
      <c r="C720" s="4" t="str" cm="1">
        <f t="array" aca="1" ref="C720" ca="1">INDEX({"Cochin";"Delhi";"Mumbai";"Pune";"Bengaluru"}, RANDBETWEEN(1,5))</f>
        <v>Cochin</v>
      </c>
      <c r="D720" s="4" t="str" cm="1">
        <f t="array" aca="1" ref="D720" ca="1">INDEX({"C-Class";"E-Class";"S-Class";"GLA";"GLC";"GLE";"GLS";"EQB"}, RANDBETWEEN(1,8))</f>
        <v>GLE</v>
      </c>
      <c r="E720" s="4" t="str">
        <f t="shared" ca="1" si="100"/>
        <v>SUV</v>
      </c>
      <c r="F720" s="4">
        <f t="shared" ca="1" si="101"/>
        <v>1</v>
      </c>
      <c r="G720" s="8">
        <f t="shared" ca="1" si="102"/>
        <v>12497891</v>
      </c>
      <c r="H720" s="8">
        <f t="shared" ca="1" si="103"/>
        <v>12497891</v>
      </c>
      <c r="I720" s="8">
        <f t="shared" ca="1" si="104"/>
        <v>9498397.1600000001</v>
      </c>
      <c r="J720" s="8">
        <f t="shared" ca="1" si="105"/>
        <v>2999493.84</v>
      </c>
      <c r="K720" s="6">
        <f t="shared" ca="1" si="106"/>
        <v>0.24</v>
      </c>
      <c r="L720" s="4" t="str" cm="1">
        <f t="array" aca="1" ref="L720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20" s="8">
        <f t="shared" ca="1" si="107"/>
        <v>16103</v>
      </c>
      <c r="N720" s="4" t="str" cm="1">
        <f t="array" aca="1" ref="N720" ca="1">INDEX({"New";"Repeat"}, RANDBETWEEN(1,2))</f>
        <v>New</v>
      </c>
      <c r="O720" s="4" t="str" cm="1">
        <f t="array" aca="1" ref="O720" ca="1">INDEX({"Loan";"Cash";"Lease"}, RANDBETWEEN(1,3))</f>
        <v>Loan</v>
      </c>
    </row>
    <row r="721" spans="1:15" x14ac:dyDescent="0.2">
      <c r="A721" s="4">
        <v>719</v>
      </c>
      <c r="B721" s="5">
        <f t="shared" ca="1" si="99"/>
        <v>45361</v>
      </c>
      <c r="C721" s="4" t="str" cm="1">
        <f t="array" aca="1" ref="C721" ca="1">INDEX({"Cochin";"Delhi";"Mumbai";"Pune";"Bengaluru"}, RANDBETWEEN(1,5))</f>
        <v>Bengaluru</v>
      </c>
      <c r="D721" s="4" t="str" cm="1">
        <f t="array" aca="1" ref="D721" ca="1">INDEX({"C-Class";"E-Class";"S-Class";"GLA";"GLC";"GLE";"GLS";"EQB"}, RANDBETWEEN(1,8))</f>
        <v>EQB</v>
      </c>
      <c r="E721" s="4" t="str">
        <f t="shared" ca="1" si="100"/>
        <v>EV</v>
      </c>
      <c r="F721" s="4">
        <f t="shared" ca="1" si="101"/>
        <v>4</v>
      </c>
      <c r="G721" s="8">
        <f t="shared" ca="1" si="102"/>
        <v>7263517</v>
      </c>
      <c r="H721" s="8">
        <f t="shared" ca="1" si="103"/>
        <v>29054068</v>
      </c>
      <c r="I721" s="8">
        <f t="shared" ca="1" si="104"/>
        <v>23824335.760000002</v>
      </c>
      <c r="J721" s="8">
        <f t="shared" ca="1" si="105"/>
        <v>5229732.2399999984</v>
      </c>
      <c r="K721" s="6">
        <f t="shared" ca="1" si="106"/>
        <v>0.17999999999999994</v>
      </c>
      <c r="L721" s="4" t="str" cm="1">
        <f t="array" aca="1" ref="L72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721" s="8">
        <f t="shared" ca="1" si="107"/>
        <v>22496</v>
      </c>
      <c r="N721" s="4" t="str" cm="1">
        <f t="array" aca="1" ref="N721" ca="1">INDEX({"New";"Repeat"}, RANDBETWEEN(1,2))</f>
        <v>New</v>
      </c>
      <c r="O721" s="4" t="str" cm="1">
        <f t="array" aca="1" ref="O721" ca="1">INDEX({"Loan";"Cash";"Lease"}, RANDBETWEEN(1,3))</f>
        <v>Lease</v>
      </c>
    </row>
    <row r="722" spans="1:15" x14ac:dyDescent="0.2">
      <c r="A722" s="4">
        <v>720</v>
      </c>
      <c r="B722" s="5">
        <f t="shared" ca="1" si="99"/>
        <v>45401</v>
      </c>
      <c r="C722" s="4" t="str" cm="1">
        <f t="array" aca="1" ref="C722" ca="1">INDEX({"Cochin";"Delhi";"Mumbai";"Pune";"Bengaluru"}, RANDBETWEEN(1,5))</f>
        <v>Pune</v>
      </c>
      <c r="D722" s="4" t="str" cm="1">
        <f t="array" aca="1" ref="D722" ca="1">INDEX({"C-Class";"E-Class";"S-Class";"GLA";"GLC";"GLE";"GLS";"EQB"}, RANDBETWEEN(1,8))</f>
        <v>EQB</v>
      </c>
      <c r="E722" s="4" t="str">
        <f t="shared" ca="1" si="100"/>
        <v>EV</v>
      </c>
      <c r="F722" s="4">
        <f t="shared" ca="1" si="101"/>
        <v>3</v>
      </c>
      <c r="G722" s="8">
        <f t="shared" ca="1" si="102"/>
        <v>7663825</v>
      </c>
      <c r="H722" s="8">
        <f t="shared" ca="1" si="103"/>
        <v>22991475</v>
      </c>
      <c r="I722" s="8">
        <f t="shared" ca="1" si="104"/>
        <v>18853009.5</v>
      </c>
      <c r="J722" s="8">
        <f t="shared" ca="1" si="105"/>
        <v>4138465.5</v>
      </c>
      <c r="K722" s="6">
        <f t="shared" ca="1" si="106"/>
        <v>0.18</v>
      </c>
      <c r="L722" s="4" t="str" cm="1">
        <f t="array" aca="1" ref="L72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22" s="8">
        <f t="shared" ca="1" si="107"/>
        <v>6135</v>
      </c>
      <c r="N722" s="4" t="str" cm="1">
        <f t="array" aca="1" ref="N722" ca="1">INDEX({"New";"Repeat"}, RANDBETWEEN(1,2))</f>
        <v>Repeat</v>
      </c>
      <c r="O722" s="4" t="str" cm="1">
        <f t="array" aca="1" ref="O722" ca="1">INDEX({"Loan";"Cash";"Lease"}, RANDBETWEEN(1,3))</f>
        <v>Cash</v>
      </c>
    </row>
    <row r="723" spans="1:15" x14ac:dyDescent="0.2">
      <c r="A723" s="4">
        <v>721</v>
      </c>
      <c r="B723" s="5">
        <f t="shared" ca="1" si="99"/>
        <v>44960</v>
      </c>
      <c r="C723" s="4" t="str" cm="1">
        <f t="array" aca="1" ref="C723" ca="1">INDEX({"Cochin";"Delhi";"Mumbai";"Pune";"Bengaluru"}, RANDBETWEEN(1,5))</f>
        <v>Delhi</v>
      </c>
      <c r="D723" s="4" t="str" cm="1">
        <f t="array" aca="1" ref="D723" ca="1">INDEX({"C-Class";"E-Class";"S-Class";"GLA";"GLC";"GLE";"GLS";"EQB"}, RANDBETWEEN(1,8))</f>
        <v>GLE</v>
      </c>
      <c r="E723" s="4" t="str">
        <f t="shared" ca="1" si="100"/>
        <v>SUV</v>
      </c>
      <c r="F723" s="4">
        <f t="shared" ca="1" si="101"/>
        <v>3</v>
      </c>
      <c r="G723" s="8">
        <f t="shared" ca="1" si="102"/>
        <v>9498889</v>
      </c>
      <c r="H723" s="8">
        <f t="shared" ca="1" si="103"/>
        <v>28496667</v>
      </c>
      <c r="I723" s="8">
        <f t="shared" ca="1" si="104"/>
        <v>21942433.59</v>
      </c>
      <c r="J723" s="8">
        <f t="shared" ca="1" si="105"/>
        <v>6554233.4100000001</v>
      </c>
      <c r="K723" s="6">
        <f t="shared" ca="1" si="106"/>
        <v>0.23</v>
      </c>
      <c r="L723" s="4" t="str" cm="1">
        <f t="array" aca="1" ref="L72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23" s="8">
        <f t="shared" ca="1" si="107"/>
        <v>21663</v>
      </c>
      <c r="N723" s="4" t="str" cm="1">
        <f t="array" aca="1" ref="N723" ca="1">INDEX({"New";"Repeat"}, RANDBETWEEN(1,2))</f>
        <v>New</v>
      </c>
      <c r="O723" s="4" t="str" cm="1">
        <f t="array" aca="1" ref="O723" ca="1">INDEX({"Loan";"Cash";"Lease"}, RANDBETWEEN(1,3))</f>
        <v>Cash</v>
      </c>
    </row>
    <row r="724" spans="1:15" x14ac:dyDescent="0.2">
      <c r="A724" s="4">
        <v>722</v>
      </c>
      <c r="B724" s="5">
        <f t="shared" ca="1" si="99"/>
        <v>45101</v>
      </c>
      <c r="C724" s="4" t="str" cm="1">
        <f t="array" aca="1" ref="C724" ca="1">INDEX({"Cochin";"Delhi";"Mumbai";"Pune";"Bengaluru"}, RANDBETWEEN(1,5))</f>
        <v>Cochin</v>
      </c>
      <c r="D724" s="4" t="str" cm="1">
        <f t="array" aca="1" ref="D724" ca="1">INDEX({"C-Class";"E-Class";"S-Class";"GLA";"GLC";"GLE";"GLS";"EQB"}, RANDBETWEEN(1,8))</f>
        <v>C-Class</v>
      </c>
      <c r="E724" s="4" t="str">
        <f t="shared" ca="1" si="100"/>
        <v>Sedan</v>
      </c>
      <c r="F724" s="4">
        <f t="shared" ca="1" si="101"/>
        <v>4</v>
      </c>
      <c r="G724" s="8">
        <f t="shared" ca="1" si="102"/>
        <v>6521964</v>
      </c>
      <c r="H724" s="8">
        <f t="shared" ca="1" si="103"/>
        <v>26087856</v>
      </c>
      <c r="I724" s="8">
        <f t="shared" ca="1" si="104"/>
        <v>18261499.199999999</v>
      </c>
      <c r="J724" s="8">
        <f t="shared" ca="1" si="105"/>
        <v>7826356.8000000007</v>
      </c>
      <c r="K724" s="6">
        <f t="shared" ca="1" si="106"/>
        <v>0.30000000000000004</v>
      </c>
      <c r="L724" s="4" t="str" cm="1">
        <f t="array" aca="1" ref="L724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24" s="8">
        <f t="shared" ca="1" si="107"/>
        <v>3958</v>
      </c>
      <c r="N724" s="4" t="str" cm="1">
        <f t="array" aca="1" ref="N724" ca="1">INDEX({"New";"Repeat"}, RANDBETWEEN(1,2))</f>
        <v>Repeat</v>
      </c>
      <c r="O724" s="4" t="str" cm="1">
        <f t="array" aca="1" ref="O724" ca="1">INDEX({"Loan";"Cash";"Lease"}, RANDBETWEEN(1,3))</f>
        <v>Lease</v>
      </c>
    </row>
    <row r="725" spans="1:15" x14ac:dyDescent="0.2">
      <c r="A725" s="4">
        <v>723</v>
      </c>
      <c r="B725" s="5">
        <f t="shared" ca="1" si="99"/>
        <v>45323</v>
      </c>
      <c r="C725" s="4" t="str" cm="1">
        <f t="array" aca="1" ref="C725" ca="1">INDEX({"Cochin";"Delhi";"Mumbai";"Pune";"Bengaluru"}, RANDBETWEEN(1,5))</f>
        <v>Cochin</v>
      </c>
      <c r="D725" s="4" t="str" cm="1">
        <f t="array" aca="1" ref="D725" ca="1">INDEX({"C-Class";"E-Class";"S-Class";"GLA";"GLC";"GLE";"GLS";"EQB"}, RANDBETWEEN(1,8))</f>
        <v>GLS</v>
      </c>
      <c r="E725" s="4" t="str">
        <f t="shared" ca="1" si="100"/>
        <v>SUV</v>
      </c>
      <c r="F725" s="4">
        <f t="shared" ca="1" si="101"/>
        <v>1</v>
      </c>
      <c r="G725" s="8">
        <f t="shared" ca="1" si="102"/>
        <v>15477748</v>
      </c>
      <c r="H725" s="8">
        <f t="shared" ca="1" si="103"/>
        <v>15477748</v>
      </c>
      <c r="I725" s="8">
        <f t="shared" ca="1" si="104"/>
        <v>11763088.48</v>
      </c>
      <c r="J725" s="8">
        <f t="shared" ca="1" si="105"/>
        <v>3714659.5199999996</v>
      </c>
      <c r="K725" s="6">
        <f t="shared" ca="1" si="106"/>
        <v>0.23999999999999996</v>
      </c>
      <c r="L725" s="4" t="str" cm="1">
        <f t="array" aca="1" ref="L72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25" s="8">
        <f t="shared" ca="1" si="107"/>
        <v>6182</v>
      </c>
      <c r="N725" s="4" t="str" cm="1">
        <f t="array" aca="1" ref="N725" ca="1">INDEX({"New";"Repeat"}, RANDBETWEEN(1,2))</f>
        <v>Repeat</v>
      </c>
      <c r="O725" s="4" t="str" cm="1">
        <f t="array" aca="1" ref="O725" ca="1">INDEX({"Loan";"Cash";"Lease"}, RANDBETWEEN(1,3))</f>
        <v>Cash</v>
      </c>
    </row>
    <row r="726" spans="1:15" x14ac:dyDescent="0.2">
      <c r="A726" s="4">
        <v>724</v>
      </c>
      <c r="B726" s="5">
        <f t="shared" ca="1" si="99"/>
        <v>45768</v>
      </c>
      <c r="C726" s="4" t="str" cm="1">
        <f t="array" aca="1" ref="C726" ca="1">INDEX({"Cochin";"Delhi";"Mumbai";"Pune";"Bengaluru"}, RANDBETWEEN(1,5))</f>
        <v>Cochin</v>
      </c>
      <c r="D726" s="4" t="str" cm="1">
        <f t="array" aca="1" ref="D726" ca="1">INDEX({"C-Class";"E-Class";"S-Class";"GLA";"GLC";"GLE";"GLS";"EQB"}, RANDBETWEEN(1,8))</f>
        <v>E-Class</v>
      </c>
      <c r="E726" s="4" t="str">
        <f t="shared" ca="1" si="100"/>
        <v>Sedan</v>
      </c>
      <c r="F726" s="4">
        <f t="shared" ca="1" si="101"/>
        <v>3</v>
      </c>
      <c r="G726" s="8">
        <f t="shared" ca="1" si="102"/>
        <v>9087435</v>
      </c>
      <c r="H726" s="8">
        <f t="shared" ca="1" si="103"/>
        <v>27262305</v>
      </c>
      <c r="I726" s="8">
        <f t="shared" ca="1" si="104"/>
        <v>22627713.149999999</v>
      </c>
      <c r="J726" s="8">
        <f t="shared" ca="1" si="105"/>
        <v>4634591.8500000015</v>
      </c>
      <c r="K726" s="6">
        <f t="shared" ca="1" si="106"/>
        <v>0.17000000000000007</v>
      </c>
      <c r="L726" s="4" t="str" cm="1">
        <f t="array" aca="1" ref="L726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26" s="8">
        <f t="shared" ca="1" si="107"/>
        <v>7733</v>
      </c>
      <c r="N726" s="4" t="str" cm="1">
        <f t="array" aca="1" ref="N726" ca="1">INDEX({"New";"Repeat"}, RANDBETWEEN(1,2))</f>
        <v>Repeat</v>
      </c>
      <c r="O726" s="4" t="str" cm="1">
        <f t="array" aca="1" ref="O726" ca="1">INDEX({"Loan";"Cash";"Lease"}, RANDBETWEEN(1,3))</f>
        <v>Loan</v>
      </c>
    </row>
    <row r="727" spans="1:15" x14ac:dyDescent="0.2">
      <c r="A727" s="4">
        <v>725</v>
      </c>
      <c r="B727" s="5">
        <f t="shared" ca="1" si="99"/>
        <v>45342</v>
      </c>
      <c r="C727" s="4" t="str" cm="1">
        <f t="array" aca="1" ref="C727" ca="1">INDEX({"Cochin";"Delhi";"Mumbai";"Pune";"Bengaluru"}, RANDBETWEEN(1,5))</f>
        <v>Mumbai</v>
      </c>
      <c r="D727" s="4" t="str" cm="1">
        <f t="array" aca="1" ref="D727" ca="1">INDEX({"C-Class";"E-Class";"S-Class";"GLA";"GLC";"GLE";"GLS";"EQB"}, RANDBETWEEN(1,8))</f>
        <v>GLA</v>
      </c>
      <c r="E727" s="4" t="str">
        <f t="shared" ca="1" si="100"/>
        <v>SUV</v>
      </c>
      <c r="F727" s="4">
        <f t="shared" ca="1" si="101"/>
        <v>4</v>
      </c>
      <c r="G727" s="8">
        <f t="shared" ca="1" si="102"/>
        <v>5245921</v>
      </c>
      <c r="H727" s="8">
        <f t="shared" ca="1" si="103"/>
        <v>20983684</v>
      </c>
      <c r="I727" s="8">
        <f t="shared" ca="1" si="104"/>
        <v>16157436.68</v>
      </c>
      <c r="J727" s="8">
        <f t="shared" ca="1" si="105"/>
        <v>4826247.32</v>
      </c>
      <c r="K727" s="6">
        <f t="shared" ca="1" si="106"/>
        <v>0.23</v>
      </c>
      <c r="L727" s="4" t="str" cm="1">
        <f t="array" aca="1" ref="L727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27" s="8">
        <f t="shared" ca="1" si="107"/>
        <v>24439</v>
      </c>
      <c r="N727" s="4" t="str" cm="1">
        <f t="array" aca="1" ref="N727" ca="1">INDEX({"New";"Repeat"}, RANDBETWEEN(1,2))</f>
        <v>New</v>
      </c>
      <c r="O727" s="4" t="str" cm="1">
        <f t="array" aca="1" ref="O727" ca="1">INDEX({"Loan";"Cash";"Lease"}, RANDBETWEEN(1,3))</f>
        <v>Lease</v>
      </c>
    </row>
    <row r="728" spans="1:15" x14ac:dyDescent="0.2">
      <c r="A728" s="4">
        <v>726</v>
      </c>
      <c r="B728" s="5">
        <f t="shared" ca="1" si="99"/>
        <v>45650</v>
      </c>
      <c r="C728" s="4" t="str" cm="1">
        <f t="array" aca="1" ref="C728" ca="1">INDEX({"Cochin";"Delhi";"Mumbai";"Pune";"Bengaluru"}, RANDBETWEEN(1,5))</f>
        <v>Mumbai</v>
      </c>
      <c r="D728" s="4" t="str" cm="1">
        <f t="array" aca="1" ref="D728" ca="1">INDEX({"C-Class";"E-Class";"S-Class";"GLA";"GLC";"GLE";"GLS";"EQB"}, RANDBETWEEN(1,8))</f>
        <v>GLC</v>
      </c>
      <c r="E728" s="4" t="str">
        <f t="shared" ca="1" si="100"/>
        <v>SUV</v>
      </c>
      <c r="F728" s="4">
        <f t="shared" ca="1" si="101"/>
        <v>2</v>
      </c>
      <c r="G728" s="8">
        <f t="shared" ca="1" si="102"/>
        <v>6821348</v>
      </c>
      <c r="H728" s="8">
        <f t="shared" ca="1" si="103"/>
        <v>13642696</v>
      </c>
      <c r="I728" s="8">
        <f t="shared" ca="1" si="104"/>
        <v>11187010.720000001</v>
      </c>
      <c r="J728" s="8">
        <f t="shared" ca="1" si="105"/>
        <v>2455685.2799999993</v>
      </c>
      <c r="K728" s="6">
        <f t="shared" ca="1" si="106"/>
        <v>0.17999999999999994</v>
      </c>
      <c r="L728" s="4" t="str" cm="1">
        <f t="array" aca="1" ref="L72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28" s="8">
        <f t="shared" ca="1" si="107"/>
        <v>10022</v>
      </c>
      <c r="N728" s="4" t="str" cm="1">
        <f t="array" aca="1" ref="N728" ca="1">INDEX({"New";"Repeat"}, RANDBETWEEN(1,2))</f>
        <v>New</v>
      </c>
      <c r="O728" s="4" t="str" cm="1">
        <f t="array" aca="1" ref="O728" ca="1">INDEX({"Loan";"Cash";"Lease"}, RANDBETWEEN(1,3))</f>
        <v>Lease</v>
      </c>
    </row>
    <row r="729" spans="1:15" x14ac:dyDescent="0.2">
      <c r="A729" s="4">
        <v>727</v>
      </c>
      <c r="B729" s="5">
        <f t="shared" ca="1" si="99"/>
        <v>45103</v>
      </c>
      <c r="C729" s="4" t="str" cm="1">
        <f t="array" aca="1" ref="C729" ca="1">INDEX({"Cochin";"Delhi";"Mumbai";"Pune";"Bengaluru"}, RANDBETWEEN(1,5))</f>
        <v>Delhi</v>
      </c>
      <c r="D729" s="4" t="str" cm="1">
        <f t="array" aca="1" ref="D729" ca="1">INDEX({"C-Class";"E-Class";"S-Class";"GLA";"GLC";"GLE";"GLS";"EQB"}, RANDBETWEEN(1,8))</f>
        <v>GLE</v>
      </c>
      <c r="E729" s="4" t="str">
        <f t="shared" ca="1" si="100"/>
        <v>SUV</v>
      </c>
      <c r="F729" s="4">
        <f t="shared" ca="1" si="101"/>
        <v>5</v>
      </c>
      <c r="G729" s="8">
        <f t="shared" ca="1" si="102"/>
        <v>10586962</v>
      </c>
      <c r="H729" s="8">
        <f t="shared" ca="1" si="103"/>
        <v>52934810</v>
      </c>
      <c r="I729" s="8">
        <f t="shared" ca="1" si="104"/>
        <v>41818499.899999999</v>
      </c>
      <c r="J729" s="8">
        <f t="shared" ca="1" si="105"/>
        <v>11116310.100000001</v>
      </c>
      <c r="K729" s="6">
        <f t="shared" ca="1" si="106"/>
        <v>0.21000000000000002</v>
      </c>
      <c r="L729" s="4" t="str" cm="1">
        <f t="array" aca="1" ref="L72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29" s="8">
        <f t="shared" ca="1" si="107"/>
        <v>10216</v>
      </c>
      <c r="N729" s="4" t="str" cm="1">
        <f t="array" aca="1" ref="N729" ca="1">INDEX({"New";"Repeat"}, RANDBETWEEN(1,2))</f>
        <v>New</v>
      </c>
      <c r="O729" s="4" t="str" cm="1">
        <f t="array" aca="1" ref="O729" ca="1">INDEX({"Loan";"Cash";"Lease"}, RANDBETWEEN(1,3))</f>
        <v>Cash</v>
      </c>
    </row>
    <row r="730" spans="1:15" x14ac:dyDescent="0.2">
      <c r="A730" s="4">
        <v>728</v>
      </c>
      <c r="B730" s="5">
        <f t="shared" ca="1" si="99"/>
        <v>45213</v>
      </c>
      <c r="C730" s="4" t="str" cm="1">
        <f t="array" aca="1" ref="C730" ca="1">INDEX({"Cochin";"Delhi";"Mumbai";"Pune";"Bengaluru"}, RANDBETWEEN(1,5))</f>
        <v>Mumbai</v>
      </c>
      <c r="D730" s="4" t="str" cm="1">
        <f t="array" aca="1" ref="D730" ca="1">INDEX({"C-Class";"E-Class";"S-Class";"GLA";"GLC";"GLE";"GLS";"EQB"}, RANDBETWEEN(1,8))</f>
        <v>GLE</v>
      </c>
      <c r="E730" s="4" t="str">
        <f t="shared" ca="1" si="100"/>
        <v>SUV</v>
      </c>
      <c r="F730" s="4">
        <f t="shared" ca="1" si="101"/>
        <v>3</v>
      </c>
      <c r="G730" s="8">
        <f t="shared" ca="1" si="102"/>
        <v>12272596</v>
      </c>
      <c r="H730" s="8">
        <f t="shared" ca="1" si="103"/>
        <v>36817788</v>
      </c>
      <c r="I730" s="8">
        <f t="shared" ca="1" si="104"/>
        <v>29822408.280000001</v>
      </c>
      <c r="J730" s="8">
        <f t="shared" ca="1" si="105"/>
        <v>6995379.7199999988</v>
      </c>
      <c r="K730" s="6">
        <f t="shared" ca="1" si="106"/>
        <v>0.18999999999999997</v>
      </c>
      <c r="L730" s="4" t="str" cm="1">
        <f t="array" aca="1" ref="L73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30" s="8">
        <f t="shared" ca="1" si="107"/>
        <v>18784</v>
      </c>
      <c r="N730" s="4" t="str" cm="1">
        <f t="array" aca="1" ref="N730" ca="1">INDEX({"New";"Repeat"}, RANDBETWEEN(1,2))</f>
        <v>New</v>
      </c>
      <c r="O730" s="4" t="str" cm="1">
        <f t="array" aca="1" ref="O730" ca="1">INDEX({"Loan";"Cash";"Lease"}, RANDBETWEEN(1,3))</f>
        <v>Lease</v>
      </c>
    </row>
    <row r="731" spans="1:15" x14ac:dyDescent="0.2">
      <c r="A731" s="4">
        <v>729</v>
      </c>
      <c r="B731" s="5">
        <f t="shared" ca="1" si="99"/>
        <v>45085</v>
      </c>
      <c r="C731" s="4" t="str" cm="1">
        <f t="array" aca="1" ref="C731" ca="1">INDEX({"Cochin";"Delhi";"Mumbai";"Pune";"Bengaluru"}, RANDBETWEEN(1,5))</f>
        <v>Pune</v>
      </c>
      <c r="D731" s="4" t="str" cm="1">
        <f t="array" aca="1" ref="D731" ca="1">INDEX({"C-Class";"E-Class";"S-Class";"GLA";"GLC";"GLE";"GLS";"EQB"}, RANDBETWEEN(1,8))</f>
        <v>GLC</v>
      </c>
      <c r="E731" s="4" t="str">
        <f t="shared" ca="1" si="100"/>
        <v>SUV</v>
      </c>
      <c r="F731" s="4">
        <f t="shared" ca="1" si="101"/>
        <v>5</v>
      </c>
      <c r="G731" s="8">
        <f t="shared" ca="1" si="102"/>
        <v>7419276</v>
      </c>
      <c r="H731" s="8">
        <f t="shared" ca="1" si="103"/>
        <v>37096380</v>
      </c>
      <c r="I731" s="8">
        <f t="shared" ca="1" si="104"/>
        <v>28564212.600000001</v>
      </c>
      <c r="J731" s="8">
        <f t="shared" ca="1" si="105"/>
        <v>8532167.3999999985</v>
      </c>
      <c r="K731" s="6">
        <f t="shared" ca="1" si="106"/>
        <v>0.22999999999999995</v>
      </c>
      <c r="L731" s="4" t="str" cm="1">
        <f t="array" aca="1" ref="L73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31" s="8">
        <f t="shared" ca="1" si="107"/>
        <v>21268</v>
      </c>
      <c r="N731" s="4" t="str" cm="1">
        <f t="array" aca="1" ref="N731" ca="1">INDEX({"New";"Repeat"}, RANDBETWEEN(1,2))</f>
        <v>New</v>
      </c>
      <c r="O731" s="4" t="str" cm="1">
        <f t="array" aca="1" ref="O731" ca="1">INDEX({"Loan";"Cash";"Lease"}, RANDBETWEEN(1,3))</f>
        <v>Cash</v>
      </c>
    </row>
    <row r="732" spans="1:15" x14ac:dyDescent="0.2">
      <c r="A732" s="4">
        <v>730</v>
      </c>
      <c r="B732" s="5">
        <f t="shared" ca="1" si="99"/>
        <v>45676</v>
      </c>
      <c r="C732" s="4" t="str" cm="1">
        <f t="array" aca="1" ref="C732" ca="1">INDEX({"Cochin";"Delhi";"Mumbai";"Pune";"Bengaluru"}, RANDBETWEEN(1,5))</f>
        <v>Delhi</v>
      </c>
      <c r="D732" s="4" t="str" cm="1">
        <f t="array" aca="1" ref="D732" ca="1">INDEX({"C-Class";"E-Class";"S-Class";"GLA";"GLC";"GLE";"GLS";"EQB"}, RANDBETWEEN(1,8))</f>
        <v>E-Class</v>
      </c>
      <c r="E732" s="4" t="str">
        <f t="shared" ca="1" si="100"/>
        <v>Sedan</v>
      </c>
      <c r="F732" s="4">
        <f t="shared" ca="1" si="101"/>
        <v>4</v>
      </c>
      <c r="G732" s="8">
        <f t="shared" ca="1" si="102"/>
        <v>7611215</v>
      </c>
      <c r="H732" s="8">
        <f t="shared" ca="1" si="103"/>
        <v>30444860</v>
      </c>
      <c r="I732" s="8">
        <f t="shared" ca="1" si="104"/>
        <v>22529196.399999999</v>
      </c>
      <c r="J732" s="8">
        <f t="shared" ca="1" si="105"/>
        <v>7915663.6000000015</v>
      </c>
      <c r="K732" s="6">
        <f t="shared" ca="1" si="106"/>
        <v>0.26000000000000006</v>
      </c>
      <c r="L732" s="4" t="str" cm="1">
        <f t="array" aca="1" ref="L732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32" s="8">
        <f t="shared" ca="1" si="107"/>
        <v>17262</v>
      </c>
      <c r="N732" s="4" t="str" cm="1">
        <f t="array" aca="1" ref="N732" ca="1">INDEX({"New";"Repeat"}, RANDBETWEEN(1,2))</f>
        <v>New</v>
      </c>
      <c r="O732" s="4" t="str" cm="1">
        <f t="array" aca="1" ref="O732" ca="1">INDEX({"Loan";"Cash";"Lease"}, RANDBETWEEN(1,3))</f>
        <v>Lease</v>
      </c>
    </row>
    <row r="733" spans="1:15" x14ac:dyDescent="0.2">
      <c r="A733" s="4">
        <v>731</v>
      </c>
      <c r="B733" s="5">
        <f t="shared" ca="1" si="99"/>
        <v>45343</v>
      </c>
      <c r="C733" s="4" t="str" cm="1">
        <f t="array" aca="1" ref="C733" ca="1">INDEX({"Cochin";"Delhi";"Mumbai";"Pune";"Bengaluru"}, RANDBETWEEN(1,5))</f>
        <v>Bengaluru</v>
      </c>
      <c r="D733" s="4" t="str" cm="1">
        <f t="array" aca="1" ref="D733" ca="1">INDEX({"C-Class";"E-Class";"S-Class";"GLA";"GLC";"GLE";"GLS";"EQB"}, RANDBETWEEN(1,8))</f>
        <v>GLS</v>
      </c>
      <c r="E733" s="4" t="str">
        <f t="shared" ca="1" si="100"/>
        <v>SUV</v>
      </c>
      <c r="F733" s="4">
        <f t="shared" ca="1" si="101"/>
        <v>3</v>
      </c>
      <c r="G733" s="8">
        <f t="shared" ca="1" si="102"/>
        <v>16705204</v>
      </c>
      <c r="H733" s="8">
        <f t="shared" ca="1" si="103"/>
        <v>50115612</v>
      </c>
      <c r="I733" s="8">
        <f t="shared" ca="1" si="104"/>
        <v>41094801.840000004</v>
      </c>
      <c r="J733" s="8">
        <f t="shared" ca="1" si="105"/>
        <v>9020810.1599999964</v>
      </c>
      <c r="K733" s="6">
        <f t="shared" ca="1" si="106"/>
        <v>0.17999999999999994</v>
      </c>
      <c r="L733" s="4" t="str" cm="1">
        <f t="array" aca="1" ref="L73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33" s="8">
        <f t="shared" ca="1" si="107"/>
        <v>20358</v>
      </c>
      <c r="N733" s="4" t="str" cm="1">
        <f t="array" aca="1" ref="N733" ca="1">INDEX({"New";"Repeat"}, RANDBETWEEN(1,2))</f>
        <v>New</v>
      </c>
      <c r="O733" s="4" t="str" cm="1">
        <f t="array" aca="1" ref="O733" ca="1">INDEX({"Loan";"Cash";"Lease"}, RANDBETWEEN(1,3))</f>
        <v>Cash</v>
      </c>
    </row>
    <row r="734" spans="1:15" x14ac:dyDescent="0.2">
      <c r="A734" s="4">
        <v>732</v>
      </c>
      <c r="B734" s="5">
        <f t="shared" ca="1" si="99"/>
        <v>45053</v>
      </c>
      <c r="C734" s="4" t="str" cm="1">
        <f t="array" aca="1" ref="C734" ca="1">INDEX({"Cochin";"Delhi";"Mumbai";"Pune";"Bengaluru"}, RANDBETWEEN(1,5))</f>
        <v>Cochin</v>
      </c>
      <c r="D734" s="4" t="str" cm="1">
        <f t="array" aca="1" ref="D734" ca="1">INDEX({"C-Class";"E-Class";"S-Class";"GLA";"GLC";"GLE";"GLS";"EQB"}, RANDBETWEEN(1,8))</f>
        <v>E-Class</v>
      </c>
      <c r="E734" s="4" t="str">
        <f t="shared" ca="1" si="100"/>
        <v>Sedan</v>
      </c>
      <c r="F734" s="4">
        <f t="shared" ca="1" si="101"/>
        <v>5</v>
      </c>
      <c r="G734" s="8">
        <f t="shared" ca="1" si="102"/>
        <v>8757785</v>
      </c>
      <c r="H734" s="8">
        <f t="shared" ca="1" si="103"/>
        <v>43788925</v>
      </c>
      <c r="I734" s="8">
        <f t="shared" ca="1" si="104"/>
        <v>31090136.75</v>
      </c>
      <c r="J734" s="8">
        <f t="shared" ca="1" si="105"/>
        <v>12698788.25</v>
      </c>
      <c r="K734" s="6">
        <f t="shared" ca="1" si="106"/>
        <v>0.28999999999999998</v>
      </c>
      <c r="L734" s="4" t="str" cm="1">
        <f t="array" aca="1" ref="L73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34" s="8">
        <f t="shared" ca="1" si="107"/>
        <v>4403</v>
      </c>
      <c r="N734" s="4" t="str" cm="1">
        <f t="array" aca="1" ref="N734" ca="1">INDEX({"New";"Repeat"}, RANDBETWEEN(1,2))</f>
        <v>Repeat</v>
      </c>
      <c r="O734" s="4" t="str" cm="1">
        <f t="array" aca="1" ref="O734" ca="1">INDEX({"Loan";"Cash";"Lease"}, RANDBETWEEN(1,3))</f>
        <v>Loan</v>
      </c>
    </row>
    <row r="735" spans="1:15" x14ac:dyDescent="0.2">
      <c r="A735" s="4">
        <v>733</v>
      </c>
      <c r="B735" s="5">
        <f t="shared" ca="1" si="99"/>
        <v>45268</v>
      </c>
      <c r="C735" s="4" t="str" cm="1">
        <f t="array" aca="1" ref="C735" ca="1">INDEX({"Cochin";"Delhi";"Mumbai";"Pune";"Bengaluru"}, RANDBETWEEN(1,5))</f>
        <v>Bengaluru</v>
      </c>
      <c r="D735" s="4" t="str" cm="1">
        <f t="array" aca="1" ref="D735" ca="1">INDEX({"C-Class";"E-Class";"S-Class";"GLA";"GLC";"GLE";"GLS";"EQB"}, RANDBETWEEN(1,8))</f>
        <v>GLC</v>
      </c>
      <c r="E735" s="4" t="str">
        <f t="shared" ca="1" si="100"/>
        <v>SUV</v>
      </c>
      <c r="F735" s="4">
        <f t="shared" ca="1" si="101"/>
        <v>4</v>
      </c>
      <c r="G735" s="8">
        <f t="shared" ca="1" si="102"/>
        <v>6852744</v>
      </c>
      <c r="H735" s="8">
        <f t="shared" ca="1" si="103"/>
        <v>27410976</v>
      </c>
      <c r="I735" s="8">
        <f t="shared" ca="1" si="104"/>
        <v>22202890.559999999</v>
      </c>
      <c r="J735" s="8">
        <f t="shared" ca="1" si="105"/>
        <v>5208085.4400000013</v>
      </c>
      <c r="K735" s="6">
        <f t="shared" ca="1" si="106"/>
        <v>0.19000000000000006</v>
      </c>
      <c r="L735" s="4" t="str" cm="1">
        <f t="array" aca="1" ref="L73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35" s="8">
        <f t="shared" ca="1" si="107"/>
        <v>4882</v>
      </c>
      <c r="N735" s="4" t="str" cm="1">
        <f t="array" aca="1" ref="N735" ca="1">INDEX({"New";"Repeat"}, RANDBETWEEN(1,2))</f>
        <v>Repeat</v>
      </c>
      <c r="O735" s="4" t="str" cm="1">
        <f t="array" aca="1" ref="O735" ca="1">INDEX({"Loan";"Cash";"Lease"}, RANDBETWEEN(1,3))</f>
        <v>Cash</v>
      </c>
    </row>
    <row r="736" spans="1:15" x14ac:dyDescent="0.2">
      <c r="A736" s="4">
        <v>734</v>
      </c>
      <c r="B736" s="5">
        <f t="shared" ca="1" si="99"/>
        <v>45143</v>
      </c>
      <c r="C736" s="4" t="str" cm="1">
        <f t="array" aca="1" ref="C736" ca="1">INDEX({"Cochin";"Delhi";"Mumbai";"Pune";"Bengaluru"}, RANDBETWEEN(1,5))</f>
        <v>Delhi</v>
      </c>
      <c r="D736" s="4" t="str" cm="1">
        <f t="array" aca="1" ref="D736" ca="1">INDEX({"C-Class";"E-Class";"S-Class";"GLA";"GLC";"GLE";"GLS";"EQB"}, RANDBETWEEN(1,8))</f>
        <v>GLA</v>
      </c>
      <c r="E736" s="4" t="str">
        <f t="shared" ca="1" si="100"/>
        <v>SUV</v>
      </c>
      <c r="F736" s="4">
        <f t="shared" ca="1" si="101"/>
        <v>3</v>
      </c>
      <c r="G736" s="8">
        <f t="shared" ca="1" si="102"/>
        <v>4617252</v>
      </c>
      <c r="H736" s="8">
        <f t="shared" ca="1" si="103"/>
        <v>13851756</v>
      </c>
      <c r="I736" s="8">
        <f t="shared" ca="1" si="104"/>
        <v>11358439.92</v>
      </c>
      <c r="J736" s="8">
        <f t="shared" ca="1" si="105"/>
        <v>2493316.08</v>
      </c>
      <c r="K736" s="6">
        <f t="shared" ca="1" si="106"/>
        <v>0.18</v>
      </c>
      <c r="L736" s="4" t="str" cm="1">
        <f t="array" aca="1" ref="L736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36" s="8">
        <f t="shared" ca="1" si="107"/>
        <v>11636</v>
      </c>
      <c r="N736" s="4" t="str" cm="1">
        <f t="array" aca="1" ref="N736" ca="1">INDEX({"New";"Repeat"}, RANDBETWEEN(1,2))</f>
        <v>New</v>
      </c>
      <c r="O736" s="4" t="str" cm="1">
        <f t="array" aca="1" ref="O736" ca="1">INDEX({"Loan";"Cash";"Lease"}, RANDBETWEEN(1,3))</f>
        <v>Cash</v>
      </c>
    </row>
    <row r="737" spans="1:15" x14ac:dyDescent="0.2">
      <c r="A737" s="4">
        <v>735</v>
      </c>
      <c r="B737" s="5">
        <f t="shared" ca="1" si="99"/>
        <v>45218</v>
      </c>
      <c r="C737" s="4" t="str" cm="1">
        <f t="array" aca="1" ref="C737" ca="1">INDEX({"Cochin";"Delhi";"Mumbai";"Pune";"Bengaluru"}, RANDBETWEEN(1,5))</f>
        <v>Bengaluru</v>
      </c>
      <c r="D737" s="4" t="str" cm="1">
        <f t="array" aca="1" ref="D737" ca="1">INDEX({"C-Class";"E-Class";"S-Class";"GLA";"GLC";"GLE";"GLS";"EQB"}, RANDBETWEEN(1,8))</f>
        <v>GLC</v>
      </c>
      <c r="E737" s="4" t="str">
        <f t="shared" ca="1" si="100"/>
        <v>SUV</v>
      </c>
      <c r="F737" s="4">
        <f t="shared" ca="1" si="101"/>
        <v>4</v>
      </c>
      <c r="G737" s="8">
        <f t="shared" ca="1" si="102"/>
        <v>6987108</v>
      </c>
      <c r="H737" s="8">
        <f t="shared" ca="1" si="103"/>
        <v>27948432</v>
      </c>
      <c r="I737" s="8">
        <f t="shared" ca="1" si="104"/>
        <v>20122871.039999999</v>
      </c>
      <c r="J737" s="8">
        <f t="shared" ca="1" si="105"/>
        <v>7825560.9600000009</v>
      </c>
      <c r="K737" s="6">
        <f t="shared" ca="1" si="106"/>
        <v>0.28000000000000003</v>
      </c>
      <c r="L737" s="4" t="str" cm="1">
        <f t="array" aca="1" ref="L73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37" s="8">
        <f t="shared" ca="1" si="107"/>
        <v>6775</v>
      </c>
      <c r="N737" s="4" t="str" cm="1">
        <f t="array" aca="1" ref="N737" ca="1">INDEX({"New";"Repeat"}, RANDBETWEEN(1,2))</f>
        <v>Repeat</v>
      </c>
      <c r="O737" s="4" t="str" cm="1">
        <f t="array" aca="1" ref="O737" ca="1">INDEX({"Loan";"Cash";"Lease"}, RANDBETWEEN(1,3))</f>
        <v>Cash</v>
      </c>
    </row>
    <row r="738" spans="1:15" x14ac:dyDescent="0.2">
      <c r="A738" s="4">
        <v>736</v>
      </c>
      <c r="B738" s="5">
        <f t="shared" ca="1" si="99"/>
        <v>45222</v>
      </c>
      <c r="C738" s="4" t="str" cm="1">
        <f t="array" aca="1" ref="C738" ca="1">INDEX({"Cochin";"Delhi";"Mumbai";"Pune";"Bengaluru"}, RANDBETWEEN(1,5))</f>
        <v>Mumbai</v>
      </c>
      <c r="D738" s="4" t="str" cm="1">
        <f t="array" aca="1" ref="D738" ca="1">INDEX({"C-Class";"E-Class";"S-Class";"GLA";"GLC";"GLE";"GLS";"EQB"}, RANDBETWEEN(1,8))</f>
        <v>EQB</v>
      </c>
      <c r="E738" s="4" t="str">
        <f t="shared" ca="1" si="100"/>
        <v>EV</v>
      </c>
      <c r="F738" s="4">
        <f t="shared" ca="1" si="101"/>
        <v>5</v>
      </c>
      <c r="G738" s="8">
        <f t="shared" ca="1" si="102"/>
        <v>7961533</v>
      </c>
      <c r="H738" s="8">
        <f t="shared" ca="1" si="103"/>
        <v>39807665</v>
      </c>
      <c r="I738" s="8">
        <f t="shared" ca="1" si="104"/>
        <v>28661518.800000001</v>
      </c>
      <c r="J738" s="8">
        <f t="shared" ca="1" si="105"/>
        <v>11146146.199999999</v>
      </c>
      <c r="K738" s="6">
        <f t="shared" ca="1" si="106"/>
        <v>0.27999999999999997</v>
      </c>
      <c r="L738" s="4" t="str" cm="1">
        <f t="array" aca="1" ref="L738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38" s="8">
        <f t="shared" ca="1" si="107"/>
        <v>3677</v>
      </c>
      <c r="N738" s="4" t="str" cm="1">
        <f t="array" aca="1" ref="N738" ca="1">INDEX({"New";"Repeat"}, RANDBETWEEN(1,2))</f>
        <v>Repeat</v>
      </c>
      <c r="O738" s="4" t="str" cm="1">
        <f t="array" aca="1" ref="O738" ca="1">INDEX({"Loan";"Cash";"Lease"}, RANDBETWEEN(1,3))</f>
        <v>Loan</v>
      </c>
    </row>
    <row r="739" spans="1:15" x14ac:dyDescent="0.2">
      <c r="A739" s="4">
        <v>737</v>
      </c>
      <c r="B739" s="5">
        <f t="shared" ca="1" si="99"/>
        <v>45505</v>
      </c>
      <c r="C739" s="4" t="str" cm="1">
        <f t="array" aca="1" ref="C739" ca="1">INDEX({"Cochin";"Delhi";"Mumbai";"Pune";"Bengaluru"}, RANDBETWEEN(1,5))</f>
        <v>Pune</v>
      </c>
      <c r="D739" s="4" t="str" cm="1">
        <f t="array" aca="1" ref="D739" ca="1">INDEX({"C-Class";"E-Class";"S-Class";"GLA";"GLC";"GLE";"GLS";"EQB"}, RANDBETWEEN(1,8))</f>
        <v>GLS</v>
      </c>
      <c r="E739" s="4" t="str">
        <f t="shared" ca="1" si="100"/>
        <v>SUV</v>
      </c>
      <c r="F739" s="4">
        <f t="shared" ca="1" si="101"/>
        <v>4</v>
      </c>
      <c r="G739" s="8">
        <f t="shared" ca="1" si="102"/>
        <v>14574756</v>
      </c>
      <c r="H739" s="8">
        <f t="shared" ca="1" si="103"/>
        <v>58299024</v>
      </c>
      <c r="I739" s="8">
        <f t="shared" ca="1" si="104"/>
        <v>46056228.960000001</v>
      </c>
      <c r="J739" s="8">
        <f t="shared" ca="1" si="105"/>
        <v>12242795.039999999</v>
      </c>
      <c r="K739" s="6">
        <f t="shared" ca="1" si="106"/>
        <v>0.21</v>
      </c>
      <c r="L739" s="4" t="str" cm="1">
        <f t="array" aca="1" ref="L73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39" s="8">
        <f t="shared" ca="1" si="107"/>
        <v>13038</v>
      </c>
      <c r="N739" s="4" t="str" cm="1">
        <f t="array" aca="1" ref="N739" ca="1">INDEX({"New";"Repeat"}, RANDBETWEEN(1,2))</f>
        <v>New</v>
      </c>
      <c r="O739" s="4" t="str" cm="1">
        <f t="array" aca="1" ref="O739" ca="1">INDEX({"Loan";"Cash";"Lease"}, RANDBETWEEN(1,3))</f>
        <v>Cash</v>
      </c>
    </row>
    <row r="740" spans="1:15" x14ac:dyDescent="0.2">
      <c r="A740" s="4">
        <v>738</v>
      </c>
      <c r="B740" s="5">
        <f t="shared" ca="1" si="99"/>
        <v>45548</v>
      </c>
      <c r="C740" s="4" t="str" cm="1">
        <f t="array" aca="1" ref="C740" ca="1">INDEX({"Cochin";"Delhi";"Mumbai";"Pune";"Bengaluru"}, RANDBETWEEN(1,5))</f>
        <v>Delhi</v>
      </c>
      <c r="D740" s="4" t="str" cm="1">
        <f t="array" aca="1" ref="D740" ca="1">INDEX({"C-Class";"E-Class";"S-Class";"GLA";"GLC";"GLE";"GLS";"EQB"}, RANDBETWEEN(1,8))</f>
        <v>GLA</v>
      </c>
      <c r="E740" s="4" t="str">
        <f t="shared" ca="1" si="100"/>
        <v>SUV</v>
      </c>
      <c r="F740" s="4">
        <f t="shared" ca="1" si="101"/>
        <v>1</v>
      </c>
      <c r="G740" s="8">
        <f t="shared" ca="1" si="102"/>
        <v>5227124</v>
      </c>
      <c r="H740" s="8">
        <f t="shared" ca="1" si="103"/>
        <v>5227124</v>
      </c>
      <c r="I740" s="8">
        <f t="shared" ca="1" si="104"/>
        <v>4390784.16</v>
      </c>
      <c r="J740" s="8">
        <f t="shared" ca="1" si="105"/>
        <v>836339.83999999985</v>
      </c>
      <c r="K740" s="6">
        <f t="shared" ca="1" si="106"/>
        <v>0.15999999999999998</v>
      </c>
      <c r="L740" s="4" t="str" cm="1">
        <f t="array" aca="1" ref="L740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40" s="8">
        <f t="shared" ca="1" si="107"/>
        <v>24016</v>
      </c>
      <c r="N740" s="4" t="str" cm="1">
        <f t="array" aca="1" ref="N740" ca="1">INDEX({"New";"Repeat"}, RANDBETWEEN(1,2))</f>
        <v>New</v>
      </c>
      <c r="O740" s="4" t="str" cm="1">
        <f t="array" aca="1" ref="O740" ca="1">INDEX({"Loan";"Cash";"Lease"}, RANDBETWEEN(1,3))</f>
        <v>Loan</v>
      </c>
    </row>
    <row r="741" spans="1:15" x14ac:dyDescent="0.2">
      <c r="A741" s="4">
        <v>739</v>
      </c>
      <c r="B741" s="5">
        <f t="shared" ca="1" si="99"/>
        <v>45794</v>
      </c>
      <c r="C741" s="4" t="str" cm="1">
        <f t="array" aca="1" ref="C741" ca="1">INDEX({"Cochin";"Delhi";"Mumbai";"Pune";"Bengaluru"}, RANDBETWEEN(1,5))</f>
        <v>Mumbai</v>
      </c>
      <c r="D741" s="4" t="str" cm="1">
        <f t="array" aca="1" ref="D741" ca="1">INDEX({"C-Class";"E-Class";"S-Class";"GLA";"GLC";"GLE";"GLS";"EQB"}, RANDBETWEEN(1,8))</f>
        <v>EQB</v>
      </c>
      <c r="E741" s="4" t="str">
        <f t="shared" ca="1" si="100"/>
        <v>EV</v>
      </c>
      <c r="F741" s="4">
        <f t="shared" ca="1" si="101"/>
        <v>2</v>
      </c>
      <c r="G741" s="8">
        <f t="shared" ca="1" si="102"/>
        <v>7248008</v>
      </c>
      <c r="H741" s="8">
        <f t="shared" ca="1" si="103"/>
        <v>14496016</v>
      </c>
      <c r="I741" s="8">
        <f t="shared" ca="1" si="104"/>
        <v>11016972.16</v>
      </c>
      <c r="J741" s="8">
        <f t="shared" ca="1" si="105"/>
        <v>3479043.84</v>
      </c>
      <c r="K741" s="6">
        <f t="shared" ca="1" si="106"/>
        <v>0.24</v>
      </c>
      <c r="L741" s="4" t="str" cm="1">
        <f t="array" aca="1" ref="L74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41" s="8">
        <f t="shared" ca="1" si="107"/>
        <v>6895</v>
      </c>
      <c r="N741" s="4" t="str" cm="1">
        <f t="array" aca="1" ref="N741" ca="1">INDEX({"New";"Repeat"}, RANDBETWEEN(1,2))</f>
        <v>Repeat</v>
      </c>
      <c r="O741" s="4" t="str" cm="1">
        <f t="array" aca="1" ref="O741" ca="1">INDEX({"Loan";"Cash";"Lease"}, RANDBETWEEN(1,3))</f>
        <v>Loan</v>
      </c>
    </row>
    <row r="742" spans="1:15" x14ac:dyDescent="0.2">
      <c r="A742" s="4">
        <v>740</v>
      </c>
      <c r="B742" s="5">
        <f t="shared" ca="1" si="99"/>
        <v>45420</v>
      </c>
      <c r="C742" s="4" t="str" cm="1">
        <f t="array" aca="1" ref="C742" ca="1">INDEX({"Cochin";"Delhi";"Mumbai";"Pune";"Bengaluru"}, RANDBETWEEN(1,5))</f>
        <v>Cochin</v>
      </c>
      <c r="D742" s="4" t="str" cm="1">
        <f t="array" aca="1" ref="D742" ca="1">INDEX({"C-Class";"E-Class";"S-Class";"GLA";"GLC";"GLE";"GLS";"EQB"}, RANDBETWEEN(1,8))</f>
        <v>GLS</v>
      </c>
      <c r="E742" s="4" t="str">
        <f t="shared" ca="1" si="100"/>
        <v>SUV</v>
      </c>
      <c r="F742" s="4">
        <f t="shared" ca="1" si="101"/>
        <v>2</v>
      </c>
      <c r="G742" s="8">
        <f t="shared" ca="1" si="102"/>
        <v>15078096</v>
      </c>
      <c r="H742" s="8">
        <f t="shared" ca="1" si="103"/>
        <v>30156192</v>
      </c>
      <c r="I742" s="8">
        <f t="shared" ca="1" si="104"/>
        <v>25632763.199999999</v>
      </c>
      <c r="J742" s="8">
        <f t="shared" ca="1" si="105"/>
        <v>4523428.8000000007</v>
      </c>
      <c r="K742" s="6">
        <f t="shared" ca="1" si="106"/>
        <v>0.15000000000000002</v>
      </c>
      <c r="L742" s="4" t="str" cm="1">
        <f t="array" aca="1" ref="L74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42" s="8">
        <f t="shared" ca="1" si="107"/>
        <v>12416</v>
      </c>
      <c r="N742" s="4" t="str" cm="1">
        <f t="array" aca="1" ref="N742" ca="1">INDEX({"New";"Repeat"}, RANDBETWEEN(1,2))</f>
        <v>New</v>
      </c>
      <c r="O742" s="4" t="str" cm="1">
        <f t="array" aca="1" ref="O742" ca="1">INDEX({"Loan";"Cash";"Lease"}, RANDBETWEEN(1,3))</f>
        <v>Lease</v>
      </c>
    </row>
    <row r="743" spans="1:15" x14ac:dyDescent="0.2">
      <c r="A743" s="4">
        <v>741</v>
      </c>
      <c r="B743" s="5">
        <f t="shared" ca="1" si="99"/>
        <v>44931</v>
      </c>
      <c r="C743" s="4" t="str" cm="1">
        <f t="array" aca="1" ref="C743" ca="1">INDEX({"Cochin";"Delhi";"Mumbai";"Pune";"Bengaluru"}, RANDBETWEEN(1,5))</f>
        <v>Mumbai</v>
      </c>
      <c r="D743" s="4" t="str" cm="1">
        <f t="array" aca="1" ref="D743" ca="1">INDEX({"C-Class";"E-Class";"S-Class";"GLA";"GLC";"GLE";"GLS";"EQB"}, RANDBETWEEN(1,8))</f>
        <v>C-Class</v>
      </c>
      <c r="E743" s="4" t="str">
        <f t="shared" ca="1" si="100"/>
        <v>Sedan</v>
      </c>
      <c r="F743" s="4">
        <f t="shared" ca="1" si="101"/>
        <v>1</v>
      </c>
      <c r="G743" s="8">
        <f t="shared" ca="1" si="102"/>
        <v>6113327</v>
      </c>
      <c r="H743" s="8">
        <f t="shared" ca="1" si="103"/>
        <v>6113327</v>
      </c>
      <c r="I743" s="8">
        <f t="shared" ca="1" si="104"/>
        <v>4707261.79</v>
      </c>
      <c r="J743" s="8">
        <f t="shared" ca="1" si="105"/>
        <v>1406065.21</v>
      </c>
      <c r="K743" s="6">
        <f t="shared" ca="1" si="106"/>
        <v>0.22999999999999998</v>
      </c>
      <c r="L743" s="4" t="str" cm="1">
        <f t="array" aca="1" ref="L74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43" s="8">
        <f t="shared" ca="1" si="107"/>
        <v>7497</v>
      </c>
      <c r="N743" s="4" t="str" cm="1">
        <f t="array" aca="1" ref="N743" ca="1">INDEX({"New";"Repeat"}, RANDBETWEEN(1,2))</f>
        <v>Repeat</v>
      </c>
      <c r="O743" s="4" t="str" cm="1">
        <f t="array" aca="1" ref="O743" ca="1">INDEX({"Loan";"Cash";"Lease"}, RANDBETWEEN(1,3))</f>
        <v>Loan</v>
      </c>
    </row>
    <row r="744" spans="1:15" x14ac:dyDescent="0.2">
      <c r="A744" s="4">
        <v>742</v>
      </c>
      <c r="B744" s="5">
        <f t="shared" ca="1" si="99"/>
        <v>45383</v>
      </c>
      <c r="C744" s="4" t="str" cm="1">
        <f t="array" aca="1" ref="C744" ca="1">INDEX({"Cochin";"Delhi";"Mumbai";"Pune";"Bengaluru"}, RANDBETWEEN(1,5))</f>
        <v>Bengaluru</v>
      </c>
      <c r="D744" s="4" t="str" cm="1">
        <f t="array" aca="1" ref="D744" ca="1">INDEX({"C-Class";"E-Class";"S-Class";"GLA";"GLC";"GLE";"GLS";"EQB"}, RANDBETWEEN(1,8))</f>
        <v>GLA</v>
      </c>
      <c r="E744" s="4" t="str">
        <f t="shared" ca="1" si="100"/>
        <v>SUV</v>
      </c>
      <c r="F744" s="4">
        <f t="shared" ca="1" si="101"/>
        <v>4</v>
      </c>
      <c r="G744" s="8">
        <f t="shared" ca="1" si="102"/>
        <v>4507604</v>
      </c>
      <c r="H744" s="8">
        <f t="shared" ca="1" si="103"/>
        <v>18030416</v>
      </c>
      <c r="I744" s="8">
        <f t="shared" ca="1" si="104"/>
        <v>13162203.68</v>
      </c>
      <c r="J744" s="8">
        <f t="shared" ca="1" si="105"/>
        <v>4868212.32</v>
      </c>
      <c r="K744" s="6">
        <f t="shared" ca="1" si="106"/>
        <v>0.27</v>
      </c>
      <c r="L744" s="4" t="str" cm="1">
        <f t="array" aca="1" ref="L74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44" s="8">
        <f t="shared" ca="1" si="107"/>
        <v>10427</v>
      </c>
      <c r="N744" s="4" t="str" cm="1">
        <f t="array" aca="1" ref="N744" ca="1">INDEX({"New";"Repeat"}, RANDBETWEEN(1,2))</f>
        <v>New</v>
      </c>
      <c r="O744" s="4" t="str" cm="1">
        <f t="array" aca="1" ref="O744" ca="1">INDEX({"Loan";"Cash";"Lease"}, RANDBETWEEN(1,3))</f>
        <v>Lease</v>
      </c>
    </row>
    <row r="745" spans="1:15" x14ac:dyDescent="0.2">
      <c r="A745" s="4">
        <v>743</v>
      </c>
      <c r="B745" s="5">
        <f t="shared" ca="1" si="99"/>
        <v>45073</v>
      </c>
      <c r="C745" s="4" t="str" cm="1">
        <f t="array" aca="1" ref="C745" ca="1">INDEX({"Cochin";"Delhi";"Mumbai";"Pune";"Bengaluru"}, RANDBETWEEN(1,5))</f>
        <v>Delhi</v>
      </c>
      <c r="D745" s="4" t="str" cm="1">
        <f t="array" aca="1" ref="D745" ca="1">INDEX({"C-Class";"E-Class";"S-Class";"GLA";"GLC";"GLE";"GLS";"EQB"}, RANDBETWEEN(1,8))</f>
        <v>GLE</v>
      </c>
      <c r="E745" s="4" t="str">
        <f t="shared" ca="1" si="100"/>
        <v>SUV</v>
      </c>
      <c r="F745" s="4">
        <f t="shared" ca="1" si="101"/>
        <v>5</v>
      </c>
      <c r="G745" s="8">
        <f t="shared" ca="1" si="102"/>
        <v>9047026</v>
      </c>
      <c r="H745" s="8">
        <f t="shared" ca="1" si="103"/>
        <v>45235130</v>
      </c>
      <c r="I745" s="8">
        <f t="shared" ca="1" si="104"/>
        <v>36640455.299999997</v>
      </c>
      <c r="J745" s="8">
        <f t="shared" ca="1" si="105"/>
        <v>8594674.700000003</v>
      </c>
      <c r="K745" s="6">
        <f t="shared" ca="1" si="106"/>
        <v>0.19000000000000006</v>
      </c>
      <c r="L745" s="4" t="str" cm="1">
        <f t="array" aca="1" ref="L74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45" s="8">
        <f t="shared" ca="1" si="107"/>
        <v>24012</v>
      </c>
      <c r="N745" s="4" t="str" cm="1">
        <f t="array" aca="1" ref="N745" ca="1">INDEX({"New";"Repeat"}, RANDBETWEEN(1,2))</f>
        <v>New</v>
      </c>
      <c r="O745" s="4" t="str" cm="1">
        <f t="array" aca="1" ref="O745" ca="1">INDEX({"Loan";"Cash";"Lease"}, RANDBETWEEN(1,3))</f>
        <v>Lease</v>
      </c>
    </row>
    <row r="746" spans="1:15" x14ac:dyDescent="0.2">
      <c r="A746" s="4">
        <v>744</v>
      </c>
      <c r="B746" s="5">
        <f t="shared" ca="1" si="99"/>
        <v>44929</v>
      </c>
      <c r="C746" s="4" t="str" cm="1">
        <f t="array" aca="1" ref="C746" ca="1">INDEX({"Cochin";"Delhi";"Mumbai";"Pune";"Bengaluru"}, RANDBETWEEN(1,5))</f>
        <v>Bengaluru</v>
      </c>
      <c r="D746" s="4" t="str" cm="1">
        <f t="array" aca="1" ref="D746" ca="1">INDEX({"C-Class";"E-Class";"S-Class";"GLA";"GLC";"GLE";"GLS";"EQB"}, RANDBETWEEN(1,8))</f>
        <v>E-Class</v>
      </c>
      <c r="E746" s="4" t="str">
        <f t="shared" ca="1" si="100"/>
        <v>Sedan</v>
      </c>
      <c r="F746" s="4">
        <f t="shared" ca="1" si="101"/>
        <v>5</v>
      </c>
      <c r="G746" s="8">
        <f t="shared" ca="1" si="102"/>
        <v>8659979</v>
      </c>
      <c r="H746" s="8">
        <f t="shared" ca="1" si="103"/>
        <v>43299895</v>
      </c>
      <c r="I746" s="8">
        <f t="shared" ca="1" si="104"/>
        <v>33340919.149999999</v>
      </c>
      <c r="J746" s="8">
        <f t="shared" ca="1" si="105"/>
        <v>9958975.8500000015</v>
      </c>
      <c r="K746" s="6">
        <f t="shared" ca="1" si="106"/>
        <v>0.23000000000000004</v>
      </c>
      <c r="L746" s="4" t="str" cm="1">
        <f t="array" aca="1" ref="L746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46" s="8">
        <f t="shared" ca="1" si="107"/>
        <v>17207</v>
      </c>
      <c r="N746" s="4" t="str" cm="1">
        <f t="array" aca="1" ref="N746" ca="1">INDEX({"New";"Repeat"}, RANDBETWEEN(1,2))</f>
        <v>New</v>
      </c>
      <c r="O746" s="4" t="str" cm="1">
        <f t="array" aca="1" ref="O746" ca="1">INDEX({"Loan";"Cash";"Lease"}, RANDBETWEEN(1,3))</f>
        <v>Loan</v>
      </c>
    </row>
    <row r="747" spans="1:15" x14ac:dyDescent="0.2">
      <c r="A747" s="4">
        <v>745</v>
      </c>
      <c r="B747" s="5">
        <f t="shared" ca="1" si="99"/>
        <v>45306</v>
      </c>
      <c r="C747" s="4" t="str" cm="1">
        <f t="array" aca="1" ref="C747" ca="1">INDEX({"Cochin";"Delhi";"Mumbai";"Pune";"Bengaluru"}, RANDBETWEEN(1,5))</f>
        <v>Pune</v>
      </c>
      <c r="D747" s="4" t="str" cm="1">
        <f t="array" aca="1" ref="D747" ca="1">INDEX({"C-Class";"E-Class";"S-Class";"GLA";"GLC";"GLE";"GLS";"EQB"}, RANDBETWEEN(1,8))</f>
        <v>GLC</v>
      </c>
      <c r="E747" s="4" t="str">
        <f t="shared" ca="1" si="100"/>
        <v>SUV</v>
      </c>
      <c r="F747" s="4">
        <f t="shared" ca="1" si="101"/>
        <v>4</v>
      </c>
      <c r="G747" s="8">
        <f t="shared" ca="1" si="102"/>
        <v>6683128</v>
      </c>
      <c r="H747" s="8">
        <f t="shared" ca="1" si="103"/>
        <v>26732512</v>
      </c>
      <c r="I747" s="8">
        <f t="shared" ca="1" si="104"/>
        <v>18980083.52</v>
      </c>
      <c r="J747" s="8">
        <f t="shared" ca="1" si="105"/>
        <v>7752428.4800000004</v>
      </c>
      <c r="K747" s="6">
        <f t="shared" ca="1" si="106"/>
        <v>0.29000000000000004</v>
      </c>
      <c r="L747" s="4" t="str" cm="1">
        <f t="array" aca="1" ref="L74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47" s="8">
        <f t="shared" ca="1" si="107"/>
        <v>7960</v>
      </c>
      <c r="N747" s="4" t="str" cm="1">
        <f t="array" aca="1" ref="N747" ca="1">INDEX({"New";"Repeat"}, RANDBETWEEN(1,2))</f>
        <v>Repeat</v>
      </c>
      <c r="O747" s="4" t="str" cm="1">
        <f t="array" aca="1" ref="O747" ca="1">INDEX({"Loan";"Cash";"Lease"}, RANDBETWEEN(1,3))</f>
        <v>Lease</v>
      </c>
    </row>
    <row r="748" spans="1:15" x14ac:dyDescent="0.2">
      <c r="A748" s="4">
        <v>746</v>
      </c>
      <c r="B748" s="5">
        <f t="shared" ca="1" si="99"/>
        <v>45681</v>
      </c>
      <c r="C748" s="4" t="str" cm="1">
        <f t="array" aca="1" ref="C748" ca="1">INDEX({"Cochin";"Delhi";"Mumbai";"Pune";"Bengaluru"}, RANDBETWEEN(1,5))</f>
        <v>Mumbai</v>
      </c>
      <c r="D748" s="4" t="str" cm="1">
        <f t="array" aca="1" ref="D748" ca="1">INDEX({"C-Class";"E-Class";"S-Class";"GLA";"GLC";"GLE";"GLS";"EQB"}, RANDBETWEEN(1,8))</f>
        <v>E-Class</v>
      </c>
      <c r="E748" s="4" t="str">
        <f t="shared" ca="1" si="100"/>
        <v>Sedan</v>
      </c>
      <c r="F748" s="4">
        <f t="shared" ca="1" si="101"/>
        <v>2</v>
      </c>
      <c r="G748" s="8">
        <f t="shared" ca="1" si="102"/>
        <v>8422582</v>
      </c>
      <c r="H748" s="8">
        <f t="shared" ca="1" si="103"/>
        <v>16845164</v>
      </c>
      <c r="I748" s="8">
        <f t="shared" ca="1" si="104"/>
        <v>11960066.439999999</v>
      </c>
      <c r="J748" s="8">
        <f t="shared" ca="1" si="105"/>
        <v>4885097.5600000005</v>
      </c>
      <c r="K748" s="6">
        <f t="shared" ca="1" si="106"/>
        <v>0.29000000000000004</v>
      </c>
      <c r="L748" s="4" t="str" cm="1">
        <f t="array" aca="1" ref="L74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48" s="8">
        <f t="shared" ca="1" si="107"/>
        <v>12413</v>
      </c>
      <c r="N748" s="4" t="str" cm="1">
        <f t="array" aca="1" ref="N748" ca="1">INDEX({"New";"Repeat"}, RANDBETWEEN(1,2))</f>
        <v>New</v>
      </c>
      <c r="O748" s="4" t="str" cm="1">
        <f t="array" aca="1" ref="O748" ca="1">INDEX({"Loan";"Cash";"Lease"}, RANDBETWEEN(1,3))</f>
        <v>Loan</v>
      </c>
    </row>
    <row r="749" spans="1:15" x14ac:dyDescent="0.2">
      <c r="A749" s="4">
        <v>747</v>
      </c>
      <c r="B749" s="5">
        <f t="shared" ca="1" si="99"/>
        <v>45692</v>
      </c>
      <c r="C749" s="4" t="str" cm="1">
        <f t="array" aca="1" ref="C749" ca="1">INDEX({"Cochin";"Delhi";"Mumbai";"Pune";"Bengaluru"}, RANDBETWEEN(1,5))</f>
        <v>Mumbai</v>
      </c>
      <c r="D749" s="4" t="str" cm="1">
        <f t="array" aca="1" ref="D749" ca="1">INDEX({"C-Class";"E-Class";"S-Class";"GLA";"GLC";"GLE";"GLS";"EQB"}, RANDBETWEEN(1,8))</f>
        <v>E-Class</v>
      </c>
      <c r="E749" s="4" t="str">
        <f t="shared" ca="1" si="100"/>
        <v>Sedan</v>
      </c>
      <c r="F749" s="4">
        <f t="shared" ca="1" si="101"/>
        <v>4</v>
      </c>
      <c r="G749" s="8">
        <f t="shared" ca="1" si="102"/>
        <v>9381487</v>
      </c>
      <c r="H749" s="8">
        <f t="shared" ca="1" si="103"/>
        <v>37525948</v>
      </c>
      <c r="I749" s="8">
        <f t="shared" ca="1" si="104"/>
        <v>30396017.879999999</v>
      </c>
      <c r="J749" s="8">
        <f t="shared" ca="1" si="105"/>
        <v>7129930.120000001</v>
      </c>
      <c r="K749" s="6">
        <f t="shared" ca="1" si="106"/>
        <v>0.19000000000000003</v>
      </c>
      <c r="L749" s="4" t="str" cm="1">
        <f t="array" aca="1" ref="L74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49" s="8">
        <f t="shared" ca="1" si="107"/>
        <v>19907</v>
      </c>
      <c r="N749" s="4" t="str" cm="1">
        <f t="array" aca="1" ref="N749" ca="1">INDEX({"New";"Repeat"}, RANDBETWEEN(1,2))</f>
        <v>New</v>
      </c>
      <c r="O749" s="4" t="str" cm="1">
        <f t="array" aca="1" ref="O749" ca="1">INDEX({"Loan";"Cash";"Lease"}, RANDBETWEEN(1,3))</f>
        <v>Lease</v>
      </c>
    </row>
    <row r="750" spans="1:15" x14ac:dyDescent="0.2">
      <c r="A750" s="4">
        <v>748</v>
      </c>
      <c r="B750" s="5">
        <f t="shared" ca="1" si="99"/>
        <v>44943</v>
      </c>
      <c r="C750" s="4" t="str" cm="1">
        <f t="array" aca="1" ref="C750" ca="1">INDEX({"Cochin";"Delhi";"Mumbai";"Pune";"Bengaluru"}, RANDBETWEEN(1,5))</f>
        <v>Mumbai</v>
      </c>
      <c r="D750" s="4" t="str" cm="1">
        <f t="array" aca="1" ref="D750" ca="1">INDEX({"C-Class";"E-Class";"S-Class";"GLA";"GLC";"GLE";"GLS";"EQB"}, RANDBETWEEN(1,8))</f>
        <v>S-Class</v>
      </c>
      <c r="E750" s="4" t="str">
        <f t="shared" ca="1" si="100"/>
        <v>Sedan</v>
      </c>
      <c r="F750" s="4">
        <f t="shared" ca="1" si="101"/>
        <v>1</v>
      </c>
      <c r="G750" s="8">
        <f t="shared" ca="1" si="102"/>
        <v>20906817</v>
      </c>
      <c r="H750" s="8">
        <f t="shared" ca="1" si="103"/>
        <v>20906817</v>
      </c>
      <c r="I750" s="8">
        <f t="shared" ca="1" si="104"/>
        <v>17770794.449999999</v>
      </c>
      <c r="J750" s="8">
        <f t="shared" ca="1" si="105"/>
        <v>3136022.5500000007</v>
      </c>
      <c r="K750" s="6">
        <f t="shared" ca="1" si="106"/>
        <v>0.15000000000000002</v>
      </c>
      <c r="L750" s="4" t="str" cm="1">
        <f t="array" aca="1" ref="L75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50" s="8">
        <f t="shared" ca="1" si="107"/>
        <v>4799</v>
      </c>
      <c r="N750" s="4" t="str" cm="1">
        <f t="array" aca="1" ref="N750" ca="1">INDEX({"New";"Repeat"}, RANDBETWEEN(1,2))</f>
        <v>Repeat</v>
      </c>
      <c r="O750" s="4" t="str" cm="1">
        <f t="array" aca="1" ref="O750" ca="1">INDEX({"Loan";"Cash";"Lease"}, RANDBETWEEN(1,3))</f>
        <v>Cash</v>
      </c>
    </row>
    <row r="751" spans="1:15" x14ac:dyDescent="0.2">
      <c r="A751" s="4">
        <v>749</v>
      </c>
      <c r="B751" s="5">
        <f t="shared" ca="1" si="99"/>
        <v>45289</v>
      </c>
      <c r="C751" s="4" t="str" cm="1">
        <f t="array" aca="1" ref="C751" ca="1">INDEX({"Cochin";"Delhi";"Mumbai";"Pune";"Bengaluru"}, RANDBETWEEN(1,5))</f>
        <v>Mumbai</v>
      </c>
      <c r="D751" s="4" t="str" cm="1">
        <f t="array" aca="1" ref="D751" ca="1">INDEX({"C-Class";"E-Class";"S-Class";"GLA";"GLC";"GLE";"GLS";"EQB"}, RANDBETWEEN(1,8))</f>
        <v>GLE</v>
      </c>
      <c r="E751" s="4" t="str">
        <f t="shared" ca="1" si="100"/>
        <v>SUV</v>
      </c>
      <c r="F751" s="4">
        <f t="shared" ca="1" si="101"/>
        <v>1</v>
      </c>
      <c r="G751" s="8">
        <f t="shared" ca="1" si="102"/>
        <v>12119537</v>
      </c>
      <c r="H751" s="8">
        <f t="shared" ca="1" si="103"/>
        <v>12119537</v>
      </c>
      <c r="I751" s="8">
        <f t="shared" ca="1" si="104"/>
        <v>9210848.1199999992</v>
      </c>
      <c r="J751" s="8">
        <f t="shared" ca="1" si="105"/>
        <v>2908688.8800000008</v>
      </c>
      <c r="K751" s="6">
        <f t="shared" ca="1" si="106"/>
        <v>0.24000000000000007</v>
      </c>
      <c r="L751" s="4" t="str" cm="1">
        <f t="array" aca="1" ref="L75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51" s="8">
        <f t="shared" ca="1" si="107"/>
        <v>4236</v>
      </c>
      <c r="N751" s="4" t="str" cm="1">
        <f t="array" aca="1" ref="N751" ca="1">INDEX({"New";"Repeat"}, RANDBETWEEN(1,2))</f>
        <v>Repeat</v>
      </c>
      <c r="O751" s="4" t="str" cm="1">
        <f t="array" aca="1" ref="O751" ca="1">INDEX({"Loan";"Cash";"Lease"}, RANDBETWEEN(1,3))</f>
        <v>Cash</v>
      </c>
    </row>
    <row r="752" spans="1:15" x14ac:dyDescent="0.2">
      <c r="A752" s="4">
        <v>750</v>
      </c>
      <c r="B752" s="5">
        <f t="shared" ca="1" si="99"/>
        <v>45178</v>
      </c>
      <c r="C752" s="4" t="str" cm="1">
        <f t="array" aca="1" ref="C752" ca="1">INDEX({"Cochin";"Delhi";"Mumbai";"Pune";"Bengaluru"}, RANDBETWEEN(1,5))</f>
        <v>Mumbai</v>
      </c>
      <c r="D752" s="4" t="str" cm="1">
        <f t="array" aca="1" ref="D752" ca="1">INDEX({"C-Class";"E-Class";"S-Class";"GLA";"GLC";"GLE";"GLS";"EQB"}, RANDBETWEEN(1,8))</f>
        <v>GLE</v>
      </c>
      <c r="E752" s="4" t="str">
        <f t="shared" ca="1" si="100"/>
        <v>SUV</v>
      </c>
      <c r="F752" s="4">
        <f t="shared" ca="1" si="101"/>
        <v>2</v>
      </c>
      <c r="G752" s="8">
        <f t="shared" ca="1" si="102"/>
        <v>12877632</v>
      </c>
      <c r="H752" s="8">
        <f t="shared" ca="1" si="103"/>
        <v>25755264</v>
      </c>
      <c r="I752" s="8">
        <f t="shared" ca="1" si="104"/>
        <v>21119316.48</v>
      </c>
      <c r="J752" s="8">
        <f t="shared" ca="1" si="105"/>
        <v>4635947.5199999996</v>
      </c>
      <c r="K752" s="6">
        <f t="shared" ca="1" si="106"/>
        <v>0.18</v>
      </c>
      <c r="L752" s="4" t="str" cm="1">
        <f t="array" aca="1" ref="L752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52" s="8">
        <f t="shared" ca="1" si="107"/>
        <v>13414</v>
      </c>
      <c r="N752" s="4" t="str" cm="1">
        <f t="array" aca="1" ref="N752" ca="1">INDEX({"New";"Repeat"}, RANDBETWEEN(1,2))</f>
        <v>New</v>
      </c>
      <c r="O752" s="4" t="str" cm="1">
        <f t="array" aca="1" ref="O752" ca="1">INDEX({"Loan";"Cash";"Lease"}, RANDBETWEEN(1,3))</f>
        <v>Lease</v>
      </c>
    </row>
    <row r="753" spans="1:15" x14ac:dyDescent="0.2">
      <c r="A753" s="4">
        <v>751</v>
      </c>
      <c r="B753" s="5">
        <f t="shared" ca="1" si="99"/>
        <v>45286</v>
      </c>
      <c r="C753" s="4" t="str" cm="1">
        <f t="array" aca="1" ref="C753" ca="1">INDEX({"Cochin";"Delhi";"Mumbai";"Pune";"Bengaluru"}, RANDBETWEEN(1,5))</f>
        <v>Pune</v>
      </c>
      <c r="D753" s="4" t="str" cm="1">
        <f t="array" aca="1" ref="D753" ca="1">INDEX({"C-Class";"E-Class";"S-Class";"GLA";"GLC";"GLE";"GLS";"EQB"}, RANDBETWEEN(1,8))</f>
        <v>GLA</v>
      </c>
      <c r="E753" s="4" t="str">
        <f t="shared" ca="1" si="100"/>
        <v>SUV</v>
      </c>
      <c r="F753" s="4">
        <f t="shared" ca="1" si="101"/>
        <v>2</v>
      </c>
      <c r="G753" s="8">
        <f t="shared" ca="1" si="102"/>
        <v>5186227</v>
      </c>
      <c r="H753" s="8">
        <f t="shared" ca="1" si="103"/>
        <v>10372454</v>
      </c>
      <c r="I753" s="8">
        <f t="shared" ca="1" si="104"/>
        <v>8609136.8200000003</v>
      </c>
      <c r="J753" s="8">
        <f t="shared" ca="1" si="105"/>
        <v>1763317.1799999997</v>
      </c>
      <c r="K753" s="6">
        <f t="shared" ca="1" si="106"/>
        <v>0.16999999999999998</v>
      </c>
      <c r="L753" s="4" t="str" cm="1">
        <f t="array" aca="1" ref="L75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53" s="8">
        <f t="shared" ca="1" si="107"/>
        <v>17230</v>
      </c>
      <c r="N753" s="4" t="str" cm="1">
        <f t="array" aca="1" ref="N753" ca="1">INDEX({"New";"Repeat"}, RANDBETWEEN(1,2))</f>
        <v>New</v>
      </c>
      <c r="O753" s="4" t="str" cm="1">
        <f t="array" aca="1" ref="O753" ca="1">INDEX({"Loan";"Cash";"Lease"}, RANDBETWEEN(1,3))</f>
        <v>Cash</v>
      </c>
    </row>
    <row r="754" spans="1:15" x14ac:dyDescent="0.2">
      <c r="A754" s="4">
        <v>752</v>
      </c>
      <c r="B754" s="5">
        <f t="shared" ca="1" si="99"/>
        <v>45679</v>
      </c>
      <c r="C754" s="4" t="str" cm="1">
        <f t="array" aca="1" ref="C754" ca="1">INDEX({"Cochin";"Delhi";"Mumbai";"Pune";"Bengaluru"}, RANDBETWEEN(1,5))</f>
        <v>Cochin</v>
      </c>
      <c r="D754" s="4" t="str" cm="1">
        <f t="array" aca="1" ref="D754" ca="1">INDEX({"C-Class";"E-Class";"S-Class";"GLA";"GLC";"GLE";"GLS";"EQB"}, RANDBETWEEN(1,8))</f>
        <v>GLE</v>
      </c>
      <c r="E754" s="4" t="str">
        <f t="shared" ca="1" si="100"/>
        <v>SUV</v>
      </c>
      <c r="F754" s="4">
        <f t="shared" ca="1" si="101"/>
        <v>4</v>
      </c>
      <c r="G754" s="8">
        <f t="shared" ca="1" si="102"/>
        <v>10095432</v>
      </c>
      <c r="H754" s="8">
        <f t="shared" ca="1" si="103"/>
        <v>40381728</v>
      </c>
      <c r="I754" s="8">
        <f t="shared" ca="1" si="104"/>
        <v>29074844.16</v>
      </c>
      <c r="J754" s="8">
        <f t="shared" ca="1" si="105"/>
        <v>11306883.84</v>
      </c>
      <c r="K754" s="6">
        <f t="shared" ca="1" si="106"/>
        <v>0.27999999999999997</v>
      </c>
      <c r="L754" s="4" t="str" cm="1">
        <f t="array" aca="1" ref="L75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54" s="8">
        <f t="shared" ca="1" si="107"/>
        <v>14520</v>
      </c>
      <c r="N754" s="4" t="str" cm="1">
        <f t="array" aca="1" ref="N754" ca="1">INDEX({"New";"Repeat"}, RANDBETWEEN(1,2))</f>
        <v>New</v>
      </c>
      <c r="O754" s="4" t="str" cm="1">
        <f t="array" aca="1" ref="O754" ca="1">INDEX({"Loan";"Cash";"Lease"}, RANDBETWEEN(1,3))</f>
        <v>Lease</v>
      </c>
    </row>
    <row r="755" spans="1:15" x14ac:dyDescent="0.2">
      <c r="A755" s="4">
        <v>753</v>
      </c>
      <c r="B755" s="5">
        <f t="shared" ca="1" si="99"/>
        <v>45357</v>
      </c>
      <c r="C755" s="4" t="str" cm="1">
        <f t="array" aca="1" ref="C755" ca="1">INDEX({"Cochin";"Delhi";"Mumbai";"Pune";"Bengaluru"}, RANDBETWEEN(1,5))</f>
        <v>Pune</v>
      </c>
      <c r="D755" s="4" t="str" cm="1">
        <f t="array" aca="1" ref="D755" ca="1">INDEX({"C-Class";"E-Class";"S-Class";"GLA";"GLC";"GLE";"GLS";"EQB"}, RANDBETWEEN(1,8))</f>
        <v>EQB</v>
      </c>
      <c r="E755" s="4" t="str">
        <f t="shared" ca="1" si="100"/>
        <v>EV</v>
      </c>
      <c r="F755" s="4">
        <f t="shared" ca="1" si="101"/>
        <v>2</v>
      </c>
      <c r="G755" s="8">
        <f t="shared" ca="1" si="102"/>
        <v>7118469</v>
      </c>
      <c r="H755" s="8">
        <f t="shared" ca="1" si="103"/>
        <v>14236938</v>
      </c>
      <c r="I755" s="8">
        <f t="shared" ca="1" si="104"/>
        <v>10677703.5</v>
      </c>
      <c r="J755" s="8">
        <f t="shared" ca="1" si="105"/>
        <v>3559234.5</v>
      </c>
      <c r="K755" s="6">
        <f t="shared" ca="1" si="106"/>
        <v>0.25</v>
      </c>
      <c r="L755" s="4" t="str" cm="1">
        <f t="array" aca="1" ref="L755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55" s="8">
        <f t="shared" ca="1" si="107"/>
        <v>10134</v>
      </c>
      <c r="N755" s="4" t="str" cm="1">
        <f t="array" aca="1" ref="N755" ca="1">INDEX({"New";"Repeat"}, RANDBETWEEN(1,2))</f>
        <v>New</v>
      </c>
      <c r="O755" s="4" t="str" cm="1">
        <f t="array" aca="1" ref="O755" ca="1">INDEX({"Loan";"Cash";"Lease"}, RANDBETWEEN(1,3))</f>
        <v>Cash</v>
      </c>
    </row>
    <row r="756" spans="1:15" x14ac:dyDescent="0.2">
      <c r="A756" s="4">
        <v>754</v>
      </c>
      <c r="B756" s="5">
        <f t="shared" ca="1" si="99"/>
        <v>45282</v>
      </c>
      <c r="C756" s="4" t="str" cm="1">
        <f t="array" aca="1" ref="C756" ca="1">INDEX({"Cochin";"Delhi";"Mumbai";"Pune";"Bengaluru"}, RANDBETWEEN(1,5))</f>
        <v>Pune</v>
      </c>
      <c r="D756" s="4" t="str" cm="1">
        <f t="array" aca="1" ref="D756" ca="1">INDEX({"C-Class";"E-Class";"S-Class";"GLA";"GLC";"GLE";"GLS";"EQB"}, RANDBETWEEN(1,8))</f>
        <v>GLE</v>
      </c>
      <c r="E756" s="4" t="str">
        <f t="shared" ca="1" si="100"/>
        <v>SUV</v>
      </c>
      <c r="F756" s="4">
        <f t="shared" ca="1" si="101"/>
        <v>2</v>
      </c>
      <c r="G756" s="8">
        <f t="shared" ca="1" si="102"/>
        <v>12820925</v>
      </c>
      <c r="H756" s="8">
        <f t="shared" ca="1" si="103"/>
        <v>25641850</v>
      </c>
      <c r="I756" s="8">
        <f t="shared" ca="1" si="104"/>
        <v>20769898.5</v>
      </c>
      <c r="J756" s="8">
        <f t="shared" ca="1" si="105"/>
        <v>4871951.5</v>
      </c>
      <c r="K756" s="6">
        <f t="shared" ca="1" si="106"/>
        <v>0.19</v>
      </c>
      <c r="L756" s="4" t="str" cm="1">
        <f t="array" aca="1" ref="L75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756" s="8">
        <f t="shared" ca="1" si="107"/>
        <v>13845</v>
      </c>
      <c r="N756" s="4" t="str" cm="1">
        <f t="array" aca="1" ref="N756" ca="1">INDEX({"New";"Repeat"}, RANDBETWEEN(1,2))</f>
        <v>New</v>
      </c>
      <c r="O756" s="4" t="str" cm="1">
        <f t="array" aca="1" ref="O756" ca="1">INDEX({"Loan";"Cash";"Lease"}, RANDBETWEEN(1,3))</f>
        <v>Lease</v>
      </c>
    </row>
    <row r="757" spans="1:15" x14ac:dyDescent="0.2">
      <c r="A757" s="4">
        <v>755</v>
      </c>
      <c r="B757" s="5">
        <f t="shared" ca="1" si="99"/>
        <v>45531</v>
      </c>
      <c r="C757" s="4" t="str" cm="1">
        <f t="array" aca="1" ref="C757" ca="1">INDEX({"Cochin";"Delhi";"Mumbai";"Pune";"Bengaluru"}, RANDBETWEEN(1,5))</f>
        <v>Mumbai</v>
      </c>
      <c r="D757" s="4" t="str" cm="1">
        <f t="array" aca="1" ref="D757" ca="1">INDEX({"C-Class";"E-Class";"S-Class";"GLA";"GLC";"GLE";"GLS";"EQB"}, RANDBETWEEN(1,8))</f>
        <v>EQB</v>
      </c>
      <c r="E757" s="4" t="str">
        <f t="shared" ca="1" si="100"/>
        <v>EV</v>
      </c>
      <c r="F757" s="4">
        <f t="shared" ca="1" si="101"/>
        <v>4</v>
      </c>
      <c r="G757" s="8">
        <f t="shared" ca="1" si="102"/>
        <v>7998414</v>
      </c>
      <c r="H757" s="8">
        <f t="shared" ca="1" si="103"/>
        <v>31993656</v>
      </c>
      <c r="I757" s="8">
        <f t="shared" ca="1" si="104"/>
        <v>24315178.559999999</v>
      </c>
      <c r="J757" s="8">
        <f t="shared" ca="1" si="105"/>
        <v>7678477.4400000013</v>
      </c>
      <c r="K757" s="6">
        <f t="shared" ca="1" si="106"/>
        <v>0.24000000000000005</v>
      </c>
      <c r="L757" s="4" t="str" cm="1">
        <f t="array" aca="1" ref="L75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57" s="8">
        <f t="shared" ca="1" si="107"/>
        <v>24606</v>
      </c>
      <c r="N757" s="4" t="str" cm="1">
        <f t="array" aca="1" ref="N757" ca="1">INDEX({"New";"Repeat"}, RANDBETWEEN(1,2))</f>
        <v>New</v>
      </c>
      <c r="O757" s="4" t="str" cm="1">
        <f t="array" aca="1" ref="O757" ca="1">INDEX({"Loan";"Cash";"Lease"}, RANDBETWEEN(1,3))</f>
        <v>Loan</v>
      </c>
    </row>
    <row r="758" spans="1:15" x14ac:dyDescent="0.2">
      <c r="A758" s="4">
        <v>756</v>
      </c>
      <c r="B758" s="5">
        <f t="shared" ca="1" si="99"/>
        <v>45574</v>
      </c>
      <c r="C758" s="4" t="str" cm="1">
        <f t="array" aca="1" ref="C758" ca="1">INDEX({"Cochin";"Delhi";"Mumbai";"Pune";"Bengaluru"}, RANDBETWEEN(1,5))</f>
        <v>Pune</v>
      </c>
      <c r="D758" s="4" t="str" cm="1">
        <f t="array" aca="1" ref="D758" ca="1">INDEX({"C-Class";"E-Class";"S-Class";"GLA";"GLC";"GLE";"GLS";"EQB"}, RANDBETWEEN(1,8))</f>
        <v>C-Class</v>
      </c>
      <c r="E758" s="4" t="str">
        <f t="shared" ca="1" si="100"/>
        <v>Sedan</v>
      </c>
      <c r="F758" s="4">
        <f t="shared" ca="1" si="101"/>
        <v>1</v>
      </c>
      <c r="G758" s="8">
        <f t="shared" ca="1" si="102"/>
        <v>6474603</v>
      </c>
      <c r="H758" s="8">
        <f t="shared" ca="1" si="103"/>
        <v>6474603</v>
      </c>
      <c r="I758" s="8">
        <f t="shared" ca="1" si="104"/>
        <v>5050190.34</v>
      </c>
      <c r="J758" s="8">
        <f t="shared" ca="1" si="105"/>
        <v>1424412.6600000001</v>
      </c>
      <c r="K758" s="6">
        <f t="shared" ca="1" si="106"/>
        <v>0.22000000000000003</v>
      </c>
      <c r="L758" s="4" t="str" cm="1">
        <f t="array" aca="1" ref="L758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58" s="8">
        <f t="shared" ca="1" si="107"/>
        <v>14538</v>
      </c>
      <c r="N758" s="4" t="str" cm="1">
        <f t="array" aca="1" ref="N758" ca="1">INDEX({"New";"Repeat"}, RANDBETWEEN(1,2))</f>
        <v>New</v>
      </c>
      <c r="O758" s="4" t="str" cm="1">
        <f t="array" aca="1" ref="O758" ca="1">INDEX({"Loan";"Cash";"Lease"}, RANDBETWEEN(1,3))</f>
        <v>Lease</v>
      </c>
    </row>
    <row r="759" spans="1:15" x14ac:dyDescent="0.2">
      <c r="A759" s="4">
        <v>757</v>
      </c>
      <c r="B759" s="5">
        <f t="shared" ca="1" si="99"/>
        <v>45729</v>
      </c>
      <c r="C759" s="4" t="str" cm="1">
        <f t="array" aca="1" ref="C759" ca="1">INDEX({"Cochin";"Delhi";"Mumbai";"Pune";"Bengaluru"}, RANDBETWEEN(1,5))</f>
        <v>Bengaluru</v>
      </c>
      <c r="D759" s="4" t="str" cm="1">
        <f t="array" aca="1" ref="D759" ca="1">INDEX({"C-Class";"E-Class";"S-Class";"GLA";"GLC";"GLE";"GLS";"EQB"}, RANDBETWEEN(1,8))</f>
        <v>S-Class</v>
      </c>
      <c r="E759" s="4" t="str">
        <f t="shared" ca="1" si="100"/>
        <v>Sedan</v>
      </c>
      <c r="F759" s="4">
        <f t="shared" ca="1" si="101"/>
        <v>5</v>
      </c>
      <c r="G759" s="8">
        <f t="shared" ca="1" si="102"/>
        <v>21334773</v>
      </c>
      <c r="H759" s="8">
        <f t="shared" ca="1" si="103"/>
        <v>106673865</v>
      </c>
      <c r="I759" s="8">
        <f t="shared" ca="1" si="104"/>
        <v>74671705.5</v>
      </c>
      <c r="J759" s="8">
        <f t="shared" ca="1" si="105"/>
        <v>32002159.5</v>
      </c>
      <c r="K759" s="6">
        <f t="shared" ca="1" si="106"/>
        <v>0.3</v>
      </c>
      <c r="L759" s="4" t="str" cm="1">
        <f t="array" aca="1" ref="L759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59" s="8">
        <f t="shared" ca="1" si="107"/>
        <v>4489</v>
      </c>
      <c r="N759" s="4" t="str" cm="1">
        <f t="array" aca="1" ref="N759" ca="1">INDEX({"New";"Repeat"}, RANDBETWEEN(1,2))</f>
        <v>Repeat</v>
      </c>
      <c r="O759" s="4" t="str" cm="1">
        <f t="array" aca="1" ref="O759" ca="1">INDEX({"Loan";"Cash";"Lease"}, RANDBETWEEN(1,3))</f>
        <v>Lease</v>
      </c>
    </row>
    <row r="760" spans="1:15" x14ac:dyDescent="0.2">
      <c r="A760" s="4">
        <v>758</v>
      </c>
      <c r="B760" s="5">
        <f t="shared" ca="1" si="99"/>
        <v>45688</v>
      </c>
      <c r="C760" s="4" t="str" cm="1">
        <f t="array" aca="1" ref="C760" ca="1">INDEX({"Cochin";"Delhi";"Mumbai";"Pune";"Bengaluru"}, RANDBETWEEN(1,5))</f>
        <v>Mumbai</v>
      </c>
      <c r="D760" s="4" t="str" cm="1">
        <f t="array" aca="1" ref="D760" ca="1">INDEX({"C-Class";"E-Class";"S-Class";"GLA";"GLC";"GLE";"GLS";"EQB"}, RANDBETWEEN(1,8))</f>
        <v>EQB</v>
      </c>
      <c r="E760" s="4" t="str">
        <f t="shared" ca="1" si="100"/>
        <v>EV</v>
      </c>
      <c r="F760" s="4">
        <f t="shared" ca="1" si="101"/>
        <v>2</v>
      </c>
      <c r="G760" s="8">
        <f t="shared" ca="1" si="102"/>
        <v>7961128</v>
      </c>
      <c r="H760" s="8">
        <f t="shared" ca="1" si="103"/>
        <v>15922256</v>
      </c>
      <c r="I760" s="8">
        <f t="shared" ca="1" si="104"/>
        <v>12260137.119999999</v>
      </c>
      <c r="J760" s="8">
        <f t="shared" ca="1" si="105"/>
        <v>3662118.8800000008</v>
      </c>
      <c r="K760" s="6">
        <f t="shared" ca="1" si="106"/>
        <v>0.23000000000000004</v>
      </c>
      <c r="L760" s="4" t="str" cm="1">
        <f t="array" aca="1" ref="L76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760" s="8">
        <f t="shared" ca="1" si="107"/>
        <v>19505</v>
      </c>
      <c r="N760" s="4" t="str" cm="1">
        <f t="array" aca="1" ref="N760" ca="1">INDEX({"New";"Repeat"}, RANDBETWEEN(1,2))</f>
        <v>New</v>
      </c>
      <c r="O760" s="4" t="str" cm="1">
        <f t="array" aca="1" ref="O760" ca="1">INDEX({"Loan";"Cash";"Lease"}, RANDBETWEEN(1,3))</f>
        <v>Cash</v>
      </c>
    </row>
    <row r="761" spans="1:15" x14ac:dyDescent="0.2">
      <c r="A761" s="4">
        <v>759</v>
      </c>
      <c r="B761" s="5">
        <f t="shared" ca="1" si="99"/>
        <v>45311</v>
      </c>
      <c r="C761" s="4" t="str" cm="1">
        <f t="array" aca="1" ref="C761" ca="1">INDEX({"Cochin";"Delhi";"Mumbai";"Pune";"Bengaluru"}, RANDBETWEEN(1,5))</f>
        <v>Bengaluru</v>
      </c>
      <c r="D761" s="4" t="str" cm="1">
        <f t="array" aca="1" ref="D761" ca="1">INDEX({"C-Class";"E-Class";"S-Class";"GLA";"GLC";"GLE";"GLS";"EQB"}, RANDBETWEEN(1,8))</f>
        <v>GLE</v>
      </c>
      <c r="E761" s="4" t="str">
        <f t="shared" ca="1" si="100"/>
        <v>SUV</v>
      </c>
      <c r="F761" s="4">
        <f t="shared" ca="1" si="101"/>
        <v>4</v>
      </c>
      <c r="G761" s="8">
        <f t="shared" ca="1" si="102"/>
        <v>11605226</v>
      </c>
      <c r="H761" s="8">
        <f t="shared" ca="1" si="103"/>
        <v>46420904</v>
      </c>
      <c r="I761" s="8">
        <f t="shared" ca="1" si="104"/>
        <v>38993559.359999999</v>
      </c>
      <c r="J761" s="8">
        <f t="shared" ca="1" si="105"/>
        <v>7427344.6400000006</v>
      </c>
      <c r="K761" s="6">
        <f t="shared" ca="1" si="106"/>
        <v>0.16</v>
      </c>
      <c r="L761" s="4" t="str" cm="1">
        <f t="array" aca="1" ref="L761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61" s="8">
        <f t="shared" ca="1" si="107"/>
        <v>7576</v>
      </c>
      <c r="N761" s="4" t="str" cm="1">
        <f t="array" aca="1" ref="N761" ca="1">INDEX({"New";"Repeat"}, RANDBETWEEN(1,2))</f>
        <v>Repeat</v>
      </c>
      <c r="O761" s="4" t="str" cm="1">
        <f t="array" aca="1" ref="O761" ca="1">INDEX({"Loan";"Cash";"Lease"}, RANDBETWEEN(1,3))</f>
        <v>Loan</v>
      </c>
    </row>
    <row r="762" spans="1:15" x14ac:dyDescent="0.2">
      <c r="A762" s="4">
        <v>760</v>
      </c>
      <c r="B762" s="5">
        <f t="shared" ca="1" si="99"/>
        <v>45687</v>
      </c>
      <c r="C762" s="4" t="str" cm="1">
        <f t="array" aca="1" ref="C762" ca="1">INDEX({"Cochin";"Delhi";"Mumbai";"Pune";"Bengaluru"}, RANDBETWEEN(1,5))</f>
        <v>Mumbai</v>
      </c>
      <c r="D762" s="4" t="str" cm="1">
        <f t="array" aca="1" ref="D762" ca="1">INDEX({"C-Class";"E-Class";"S-Class";"GLA";"GLC";"GLE";"GLS";"EQB"}, RANDBETWEEN(1,8))</f>
        <v>EQB</v>
      </c>
      <c r="E762" s="4" t="str">
        <f t="shared" ca="1" si="100"/>
        <v>EV</v>
      </c>
      <c r="F762" s="4">
        <f t="shared" ca="1" si="101"/>
        <v>2</v>
      </c>
      <c r="G762" s="8">
        <f t="shared" ca="1" si="102"/>
        <v>7418519</v>
      </c>
      <c r="H762" s="8">
        <f t="shared" ca="1" si="103"/>
        <v>14837038</v>
      </c>
      <c r="I762" s="8">
        <f t="shared" ca="1" si="104"/>
        <v>10979408.119999999</v>
      </c>
      <c r="J762" s="8">
        <f t="shared" ca="1" si="105"/>
        <v>3857629.8800000008</v>
      </c>
      <c r="K762" s="6">
        <f t="shared" ca="1" si="106"/>
        <v>0.26000000000000006</v>
      </c>
      <c r="L762" s="4" t="str" cm="1">
        <f t="array" aca="1" ref="L76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62" s="8">
        <f t="shared" ca="1" si="107"/>
        <v>3920</v>
      </c>
      <c r="N762" s="4" t="str" cm="1">
        <f t="array" aca="1" ref="N762" ca="1">INDEX({"New";"Repeat"}, RANDBETWEEN(1,2))</f>
        <v>Repeat</v>
      </c>
      <c r="O762" s="4" t="str" cm="1">
        <f t="array" aca="1" ref="O762" ca="1">INDEX({"Loan";"Cash";"Lease"}, RANDBETWEEN(1,3))</f>
        <v>Loan</v>
      </c>
    </row>
    <row r="763" spans="1:15" x14ac:dyDescent="0.2">
      <c r="A763" s="4">
        <v>761</v>
      </c>
      <c r="B763" s="5">
        <f t="shared" ca="1" si="99"/>
        <v>45652</v>
      </c>
      <c r="C763" s="4" t="str" cm="1">
        <f t="array" aca="1" ref="C763" ca="1">INDEX({"Cochin";"Delhi";"Mumbai";"Pune";"Bengaluru"}, RANDBETWEEN(1,5))</f>
        <v>Cochin</v>
      </c>
      <c r="D763" s="4" t="str" cm="1">
        <f t="array" aca="1" ref="D763" ca="1">INDEX({"C-Class";"E-Class";"S-Class";"GLA";"GLC";"GLE";"GLS";"EQB"}, RANDBETWEEN(1,8))</f>
        <v>GLC</v>
      </c>
      <c r="E763" s="4" t="str">
        <f t="shared" ca="1" si="100"/>
        <v>SUV</v>
      </c>
      <c r="F763" s="4">
        <f t="shared" ca="1" si="101"/>
        <v>1</v>
      </c>
      <c r="G763" s="8">
        <f t="shared" ca="1" si="102"/>
        <v>6913010</v>
      </c>
      <c r="H763" s="8">
        <f t="shared" ca="1" si="103"/>
        <v>6913010</v>
      </c>
      <c r="I763" s="8">
        <f t="shared" ca="1" si="104"/>
        <v>5046497.3</v>
      </c>
      <c r="J763" s="8">
        <f t="shared" ca="1" si="105"/>
        <v>1866512.7000000002</v>
      </c>
      <c r="K763" s="6">
        <f t="shared" ca="1" si="106"/>
        <v>0.27</v>
      </c>
      <c r="L763" s="4" t="str" cm="1">
        <f t="array" aca="1" ref="L76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63" s="8">
        <f t="shared" ca="1" si="107"/>
        <v>4515</v>
      </c>
      <c r="N763" s="4" t="str" cm="1">
        <f t="array" aca="1" ref="N763" ca="1">INDEX({"New";"Repeat"}, RANDBETWEEN(1,2))</f>
        <v>Repeat</v>
      </c>
      <c r="O763" s="4" t="str" cm="1">
        <f t="array" aca="1" ref="O763" ca="1">INDEX({"Loan";"Cash";"Lease"}, RANDBETWEEN(1,3))</f>
        <v>Cash</v>
      </c>
    </row>
    <row r="764" spans="1:15" x14ac:dyDescent="0.2">
      <c r="A764" s="4">
        <v>762</v>
      </c>
      <c r="B764" s="5">
        <f t="shared" ca="1" si="99"/>
        <v>44980</v>
      </c>
      <c r="C764" s="4" t="str" cm="1">
        <f t="array" aca="1" ref="C764" ca="1">INDEX({"Cochin";"Delhi";"Mumbai";"Pune";"Bengaluru"}, RANDBETWEEN(1,5))</f>
        <v>Bengaluru</v>
      </c>
      <c r="D764" s="4" t="str" cm="1">
        <f t="array" aca="1" ref="D764" ca="1">INDEX({"C-Class";"E-Class";"S-Class";"GLA";"GLC";"GLE";"GLS";"EQB"}, RANDBETWEEN(1,8))</f>
        <v>EQB</v>
      </c>
      <c r="E764" s="4" t="str">
        <f t="shared" ca="1" si="100"/>
        <v>EV</v>
      </c>
      <c r="F764" s="4">
        <f t="shared" ca="1" si="101"/>
        <v>5</v>
      </c>
      <c r="G764" s="8">
        <f t="shared" ca="1" si="102"/>
        <v>7142661</v>
      </c>
      <c r="H764" s="8">
        <f t="shared" ca="1" si="103"/>
        <v>35713305</v>
      </c>
      <c r="I764" s="8">
        <f t="shared" ca="1" si="104"/>
        <v>29284910.100000001</v>
      </c>
      <c r="J764" s="8">
        <f t="shared" ca="1" si="105"/>
        <v>6428394.8999999985</v>
      </c>
      <c r="K764" s="6">
        <f t="shared" ca="1" si="106"/>
        <v>0.17999999999999997</v>
      </c>
      <c r="L764" s="4" t="str" cm="1">
        <f t="array" aca="1" ref="L76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64" s="8">
        <f t="shared" ca="1" si="107"/>
        <v>16512</v>
      </c>
      <c r="N764" s="4" t="str" cm="1">
        <f t="array" aca="1" ref="N764" ca="1">INDEX({"New";"Repeat"}, RANDBETWEEN(1,2))</f>
        <v>New</v>
      </c>
      <c r="O764" s="4" t="str" cm="1">
        <f t="array" aca="1" ref="O764" ca="1">INDEX({"Loan";"Cash";"Lease"}, RANDBETWEEN(1,3))</f>
        <v>Lease</v>
      </c>
    </row>
    <row r="765" spans="1:15" x14ac:dyDescent="0.2">
      <c r="A765" s="4">
        <v>763</v>
      </c>
      <c r="B765" s="5">
        <f t="shared" ca="1" si="99"/>
        <v>45363</v>
      </c>
      <c r="C765" s="4" t="str" cm="1">
        <f t="array" aca="1" ref="C765" ca="1">INDEX({"Cochin";"Delhi";"Mumbai";"Pune";"Bengaluru"}, RANDBETWEEN(1,5))</f>
        <v>Mumbai</v>
      </c>
      <c r="D765" s="4" t="str" cm="1">
        <f t="array" aca="1" ref="D765" ca="1">INDEX({"C-Class";"E-Class";"S-Class";"GLA";"GLC";"GLE";"GLS";"EQB"}, RANDBETWEEN(1,8))</f>
        <v>GLA</v>
      </c>
      <c r="E765" s="4" t="str">
        <f t="shared" ca="1" si="100"/>
        <v>SUV</v>
      </c>
      <c r="F765" s="4">
        <f t="shared" ca="1" si="101"/>
        <v>4</v>
      </c>
      <c r="G765" s="8">
        <f t="shared" ca="1" si="102"/>
        <v>4704815</v>
      </c>
      <c r="H765" s="8">
        <f t="shared" ca="1" si="103"/>
        <v>18819260</v>
      </c>
      <c r="I765" s="8">
        <f t="shared" ca="1" si="104"/>
        <v>14490830.199999999</v>
      </c>
      <c r="J765" s="8">
        <f t="shared" ca="1" si="105"/>
        <v>4328429.8000000007</v>
      </c>
      <c r="K765" s="6">
        <f t="shared" ca="1" si="106"/>
        <v>0.23000000000000004</v>
      </c>
      <c r="L765" s="4" t="str" cm="1">
        <f t="array" aca="1" ref="L765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65" s="8">
        <f t="shared" ca="1" si="107"/>
        <v>5775</v>
      </c>
      <c r="N765" s="4" t="str" cm="1">
        <f t="array" aca="1" ref="N765" ca="1">INDEX({"New";"Repeat"}, RANDBETWEEN(1,2))</f>
        <v>Repeat</v>
      </c>
      <c r="O765" s="4" t="str" cm="1">
        <f t="array" aca="1" ref="O765" ca="1">INDEX({"Loan";"Cash";"Lease"}, RANDBETWEEN(1,3))</f>
        <v>Lease</v>
      </c>
    </row>
    <row r="766" spans="1:15" x14ac:dyDescent="0.2">
      <c r="A766" s="4">
        <v>764</v>
      </c>
      <c r="B766" s="5">
        <f t="shared" ca="1" si="99"/>
        <v>45398</v>
      </c>
      <c r="C766" s="4" t="str" cm="1">
        <f t="array" aca="1" ref="C766" ca="1">INDEX({"Cochin";"Delhi";"Mumbai";"Pune";"Bengaluru"}, RANDBETWEEN(1,5))</f>
        <v>Pune</v>
      </c>
      <c r="D766" s="4" t="str" cm="1">
        <f t="array" aca="1" ref="D766" ca="1">INDEX({"C-Class";"E-Class";"S-Class";"GLA";"GLC";"GLE";"GLS";"EQB"}, RANDBETWEEN(1,8))</f>
        <v>GLA</v>
      </c>
      <c r="E766" s="4" t="str">
        <f t="shared" ca="1" si="100"/>
        <v>SUV</v>
      </c>
      <c r="F766" s="4">
        <f t="shared" ca="1" si="101"/>
        <v>5</v>
      </c>
      <c r="G766" s="8">
        <f t="shared" ca="1" si="102"/>
        <v>5430140</v>
      </c>
      <c r="H766" s="8">
        <f t="shared" ca="1" si="103"/>
        <v>27150700</v>
      </c>
      <c r="I766" s="8">
        <f t="shared" ca="1" si="104"/>
        <v>20363025</v>
      </c>
      <c r="J766" s="8">
        <f t="shared" ca="1" si="105"/>
        <v>6787675</v>
      </c>
      <c r="K766" s="6">
        <f t="shared" ca="1" si="106"/>
        <v>0.25</v>
      </c>
      <c r="L766" s="4" t="str" cm="1">
        <f t="array" aca="1" ref="L76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66" s="8">
        <f t="shared" ca="1" si="107"/>
        <v>5032</v>
      </c>
      <c r="N766" s="4" t="str" cm="1">
        <f t="array" aca="1" ref="N766" ca="1">INDEX({"New";"Repeat"}, RANDBETWEEN(1,2))</f>
        <v>Repeat</v>
      </c>
      <c r="O766" s="4" t="str" cm="1">
        <f t="array" aca="1" ref="O766" ca="1">INDEX({"Loan";"Cash";"Lease"}, RANDBETWEEN(1,3))</f>
        <v>Loan</v>
      </c>
    </row>
    <row r="767" spans="1:15" x14ac:dyDescent="0.2">
      <c r="A767" s="4">
        <v>765</v>
      </c>
      <c r="B767" s="5">
        <f t="shared" ca="1" si="99"/>
        <v>45834</v>
      </c>
      <c r="C767" s="4" t="str" cm="1">
        <f t="array" aca="1" ref="C767" ca="1">INDEX({"Cochin";"Delhi";"Mumbai";"Pune";"Bengaluru"}, RANDBETWEEN(1,5))</f>
        <v>Bengaluru</v>
      </c>
      <c r="D767" s="4" t="str" cm="1">
        <f t="array" aca="1" ref="D767" ca="1">INDEX({"C-Class";"E-Class";"S-Class";"GLA";"GLC";"GLE";"GLS";"EQB"}, RANDBETWEEN(1,8))</f>
        <v>E-Class</v>
      </c>
      <c r="E767" s="4" t="str">
        <f t="shared" ca="1" si="100"/>
        <v>Sedan</v>
      </c>
      <c r="F767" s="4">
        <f t="shared" ca="1" si="101"/>
        <v>1</v>
      </c>
      <c r="G767" s="8">
        <f t="shared" ca="1" si="102"/>
        <v>9391494</v>
      </c>
      <c r="H767" s="8">
        <f t="shared" ca="1" si="103"/>
        <v>9391494</v>
      </c>
      <c r="I767" s="8">
        <f t="shared" ca="1" si="104"/>
        <v>6949705.5599999996</v>
      </c>
      <c r="J767" s="8">
        <f t="shared" ca="1" si="105"/>
        <v>2441788.4400000004</v>
      </c>
      <c r="K767" s="6">
        <f t="shared" ca="1" si="106"/>
        <v>0.26000000000000006</v>
      </c>
      <c r="L767" s="4" t="str" cm="1">
        <f t="array" aca="1" ref="L767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67" s="8">
        <f t="shared" ca="1" si="107"/>
        <v>4793</v>
      </c>
      <c r="N767" s="4" t="str" cm="1">
        <f t="array" aca="1" ref="N767" ca="1">INDEX({"New";"Repeat"}, RANDBETWEEN(1,2))</f>
        <v>Repeat</v>
      </c>
      <c r="O767" s="4" t="str" cm="1">
        <f t="array" aca="1" ref="O767" ca="1">INDEX({"Loan";"Cash";"Lease"}, RANDBETWEEN(1,3))</f>
        <v>Lease</v>
      </c>
    </row>
    <row r="768" spans="1:15" x14ac:dyDescent="0.2">
      <c r="A768" s="4">
        <v>766</v>
      </c>
      <c r="B768" s="5">
        <f t="shared" ca="1" si="99"/>
        <v>45333</v>
      </c>
      <c r="C768" s="4" t="str" cm="1">
        <f t="array" aca="1" ref="C768" ca="1">INDEX({"Cochin";"Delhi";"Mumbai";"Pune";"Bengaluru"}, RANDBETWEEN(1,5))</f>
        <v>Bengaluru</v>
      </c>
      <c r="D768" s="4" t="str" cm="1">
        <f t="array" aca="1" ref="D768" ca="1">INDEX({"C-Class";"E-Class";"S-Class";"GLA";"GLC";"GLE";"GLS";"EQB"}, RANDBETWEEN(1,8))</f>
        <v>C-Class</v>
      </c>
      <c r="E768" s="4" t="str">
        <f t="shared" ca="1" si="100"/>
        <v>Sedan</v>
      </c>
      <c r="F768" s="4">
        <f t="shared" ca="1" si="101"/>
        <v>5</v>
      </c>
      <c r="G768" s="8">
        <f t="shared" ca="1" si="102"/>
        <v>6722631</v>
      </c>
      <c r="H768" s="8">
        <f t="shared" ca="1" si="103"/>
        <v>33613155</v>
      </c>
      <c r="I768" s="8">
        <f t="shared" ca="1" si="104"/>
        <v>23529208.5</v>
      </c>
      <c r="J768" s="8">
        <f t="shared" ca="1" si="105"/>
        <v>10083946.5</v>
      </c>
      <c r="K768" s="6">
        <f t="shared" ca="1" si="106"/>
        <v>0.3</v>
      </c>
      <c r="L768" s="4" t="str" cm="1">
        <f t="array" aca="1" ref="L76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68" s="8">
        <f t="shared" ca="1" si="107"/>
        <v>5145</v>
      </c>
      <c r="N768" s="4" t="str" cm="1">
        <f t="array" aca="1" ref="N768" ca="1">INDEX({"New";"Repeat"}, RANDBETWEEN(1,2))</f>
        <v>Repeat</v>
      </c>
      <c r="O768" s="4" t="str" cm="1">
        <f t="array" aca="1" ref="O768" ca="1">INDEX({"Loan";"Cash";"Lease"}, RANDBETWEEN(1,3))</f>
        <v>Loan</v>
      </c>
    </row>
    <row r="769" spans="1:15" x14ac:dyDescent="0.2">
      <c r="A769" s="4">
        <v>767</v>
      </c>
      <c r="B769" s="5">
        <f t="shared" ca="1" si="99"/>
        <v>44970</v>
      </c>
      <c r="C769" s="4" t="str" cm="1">
        <f t="array" aca="1" ref="C769" ca="1">INDEX({"Cochin";"Delhi";"Mumbai";"Pune";"Bengaluru"}, RANDBETWEEN(1,5))</f>
        <v>Bengaluru</v>
      </c>
      <c r="D769" s="4" t="str" cm="1">
        <f t="array" aca="1" ref="D769" ca="1">INDEX({"C-Class";"E-Class";"S-Class";"GLA";"GLC";"GLE";"GLS";"EQB"}, RANDBETWEEN(1,8))</f>
        <v>S-Class</v>
      </c>
      <c r="E769" s="4" t="str">
        <f t="shared" ca="1" si="100"/>
        <v>Sedan</v>
      </c>
      <c r="F769" s="4">
        <f t="shared" ca="1" si="101"/>
        <v>2</v>
      </c>
      <c r="G769" s="8">
        <f t="shared" ca="1" si="102"/>
        <v>18879955</v>
      </c>
      <c r="H769" s="8">
        <f t="shared" ca="1" si="103"/>
        <v>37759910</v>
      </c>
      <c r="I769" s="8">
        <f t="shared" ca="1" si="104"/>
        <v>31718324.399999999</v>
      </c>
      <c r="J769" s="8">
        <f t="shared" ca="1" si="105"/>
        <v>6041585.6000000015</v>
      </c>
      <c r="K769" s="6">
        <f t="shared" ca="1" si="106"/>
        <v>0.16000000000000003</v>
      </c>
      <c r="L769" s="4" t="str" cm="1">
        <f t="array" aca="1" ref="L76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69" s="8">
        <f t="shared" ca="1" si="107"/>
        <v>18599</v>
      </c>
      <c r="N769" s="4" t="str" cm="1">
        <f t="array" aca="1" ref="N769" ca="1">INDEX({"New";"Repeat"}, RANDBETWEEN(1,2))</f>
        <v>New</v>
      </c>
      <c r="O769" s="4" t="str" cm="1">
        <f t="array" aca="1" ref="O769" ca="1">INDEX({"Loan";"Cash";"Lease"}, RANDBETWEEN(1,3))</f>
        <v>Cash</v>
      </c>
    </row>
    <row r="770" spans="1:15" x14ac:dyDescent="0.2">
      <c r="A770" s="4">
        <v>768</v>
      </c>
      <c r="B770" s="5">
        <f t="shared" ca="1" si="99"/>
        <v>45264</v>
      </c>
      <c r="C770" s="4" t="str" cm="1">
        <f t="array" aca="1" ref="C770" ca="1">INDEX({"Cochin";"Delhi";"Mumbai";"Pune";"Bengaluru"}, RANDBETWEEN(1,5))</f>
        <v>Pune</v>
      </c>
      <c r="D770" s="4" t="str" cm="1">
        <f t="array" aca="1" ref="D770" ca="1">INDEX({"C-Class";"E-Class";"S-Class";"GLA";"GLC";"GLE";"GLS";"EQB"}, RANDBETWEEN(1,8))</f>
        <v>E-Class</v>
      </c>
      <c r="E770" s="4" t="str">
        <f t="shared" ca="1" si="100"/>
        <v>Sedan</v>
      </c>
      <c r="F770" s="4">
        <f t="shared" ca="1" si="101"/>
        <v>5</v>
      </c>
      <c r="G770" s="8">
        <f t="shared" ca="1" si="102"/>
        <v>8149734</v>
      </c>
      <c r="H770" s="8">
        <f t="shared" ca="1" si="103"/>
        <v>40748670</v>
      </c>
      <c r="I770" s="8">
        <f t="shared" ca="1" si="104"/>
        <v>30561502.5</v>
      </c>
      <c r="J770" s="8">
        <f t="shared" ca="1" si="105"/>
        <v>10187167.5</v>
      </c>
      <c r="K770" s="6">
        <f t="shared" ca="1" si="106"/>
        <v>0.25</v>
      </c>
      <c r="L770" s="4" t="str" cm="1">
        <f t="array" aca="1" ref="L77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770" s="8">
        <f t="shared" ca="1" si="107"/>
        <v>4682</v>
      </c>
      <c r="N770" s="4" t="str" cm="1">
        <f t="array" aca="1" ref="N770" ca="1">INDEX({"New";"Repeat"}, RANDBETWEEN(1,2))</f>
        <v>Repeat</v>
      </c>
      <c r="O770" s="4" t="str" cm="1">
        <f t="array" aca="1" ref="O770" ca="1">INDEX({"Loan";"Cash";"Lease"}, RANDBETWEEN(1,3))</f>
        <v>Lease</v>
      </c>
    </row>
    <row r="771" spans="1:15" x14ac:dyDescent="0.2">
      <c r="A771" s="4">
        <v>769</v>
      </c>
      <c r="B771" s="5">
        <f t="shared" ca="1" si="99"/>
        <v>45830</v>
      </c>
      <c r="C771" s="4" t="str" cm="1">
        <f t="array" aca="1" ref="C771" ca="1">INDEX({"Cochin";"Delhi";"Mumbai";"Pune";"Bengaluru"}, RANDBETWEEN(1,5))</f>
        <v>Pune</v>
      </c>
      <c r="D771" s="4" t="str" cm="1">
        <f t="array" aca="1" ref="D771" ca="1">INDEX({"C-Class";"E-Class";"S-Class";"GLA";"GLC";"GLE";"GLS";"EQB"}, RANDBETWEEN(1,8))</f>
        <v>GLS</v>
      </c>
      <c r="E771" s="4" t="str">
        <f t="shared" ca="1" si="100"/>
        <v>SUV</v>
      </c>
      <c r="F771" s="4">
        <f t="shared" ca="1" si="101"/>
        <v>3</v>
      </c>
      <c r="G771" s="8">
        <f t="shared" ca="1" si="102"/>
        <v>14750998</v>
      </c>
      <c r="H771" s="8">
        <f t="shared" ca="1" si="103"/>
        <v>44252994</v>
      </c>
      <c r="I771" s="8">
        <f t="shared" ca="1" si="104"/>
        <v>32304685.620000001</v>
      </c>
      <c r="J771" s="8">
        <f t="shared" ca="1" si="105"/>
        <v>11948308.379999999</v>
      </c>
      <c r="K771" s="6">
        <f t="shared" ca="1" si="106"/>
        <v>0.26999999999999996</v>
      </c>
      <c r="L771" s="4" t="str" cm="1">
        <f t="array" aca="1" ref="L77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71" s="8">
        <f t="shared" ca="1" si="107"/>
        <v>20831</v>
      </c>
      <c r="N771" s="4" t="str" cm="1">
        <f t="array" aca="1" ref="N771" ca="1">INDEX({"New";"Repeat"}, RANDBETWEEN(1,2))</f>
        <v>New</v>
      </c>
      <c r="O771" s="4" t="str" cm="1">
        <f t="array" aca="1" ref="O771" ca="1">INDEX({"Loan";"Cash";"Lease"}, RANDBETWEEN(1,3))</f>
        <v>Lease</v>
      </c>
    </row>
    <row r="772" spans="1:15" x14ac:dyDescent="0.2">
      <c r="A772" s="4">
        <v>770</v>
      </c>
      <c r="B772" s="5">
        <f t="shared" ref="B772:B835" ca="1" si="108">RANDBETWEEN(DATE(2023,1,1),DATE(2025,9,1))</f>
        <v>45262</v>
      </c>
      <c r="C772" s="4" t="str" cm="1">
        <f t="array" aca="1" ref="C772" ca="1">INDEX({"Cochin";"Delhi";"Mumbai";"Pune";"Bengaluru"}, RANDBETWEEN(1,5))</f>
        <v>Cochin</v>
      </c>
      <c r="D772" s="4" t="str" cm="1">
        <f t="array" aca="1" ref="D772" ca="1">INDEX({"C-Class";"E-Class";"S-Class";"GLA";"GLC";"GLE";"GLS";"EQB"}, RANDBETWEEN(1,8))</f>
        <v>GLA</v>
      </c>
      <c r="E772" s="4" t="str">
        <f t="shared" ref="E772:E835" ca="1" si="109">IF(D772="EQB","EV", IF(OR(D772="GLA",D772="GLC",D772="GLE",D772="GLS"),"SUV","Sedan"))</f>
        <v>SUV</v>
      </c>
      <c r="F772" s="4">
        <f t="shared" ref="F772:F835" ca="1" si="110">RANDBETWEEN(1,5)</f>
        <v>4</v>
      </c>
      <c r="G772" s="8">
        <f t="shared" ref="G772:G835" ca="1" si="111">IF(D772="C-Class",RANDBETWEEN(5500000,7000000),
IF(D772="E-Class",RANDBETWEEN(7500000,9500000),
IF(D772="S-Class",RANDBETWEEN(15000000,25000000),
IF(D772="GLA",RANDBETWEEN(4500000,5500000),
IF(D772="GLC",RANDBETWEEN(6500000,7500000),
IF(D772="GLE",RANDBETWEEN(9000000,13000000),
IF(D772="GLS",RANDBETWEEN(13000000,18000000),
IF(D772="EQB",RANDBETWEEN(7000000,8000000)))))))))</f>
        <v>5050908</v>
      </c>
      <c r="H772" s="8">
        <f t="shared" ref="H772:H835" ca="1" si="112">F772*G772</f>
        <v>20203632</v>
      </c>
      <c r="I772" s="8">
        <f t="shared" ref="I772:I835" ca="1" si="113">G772 *F772* RANDBETWEEN(70,85) / 100</f>
        <v>14344578.720000001</v>
      </c>
      <c r="J772" s="8">
        <f t="shared" ref="J772:J835" ca="1" si="114">H772 -I772</f>
        <v>5859053.2799999993</v>
      </c>
      <c r="K772" s="6">
        <f t="shared" ref="K772:K835" ca="1" si="115">J772/H772</f>
        <v>0.28999999999999998</v>
      </c>
      <c r="L772" s="4" t="str" cm="1">
        <f t="array" aca="1" ref="L77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72" s="8">
        <f t="shared" ref="M772:M835" ca="1" si="116">IF(N772="New", RANDBETWEEN(10000,25000), RANDBETWEEN(3000,8000))</f>
        <v>7141</v>
      </c>
      <c r="N772" s="4" t="str" cm="1">
        <f t="array" aca="1" ref="N772" ca="1">INDEX({"New";"Repeat"}, RANDBETWEEN(1,2))</f>
        <v>Repeat</v>
      </c>
      <c r="O772" s="4" t="str" cm="1">
        <f t="array" aca="1" ref="O772" ca="1">INDEX({"Loan";"Cash";"Lease"}, RANDBETWEEN(1,3))</f>
        <v>Lease</v>
      </c>
    </row>
    <row r="773" spans="1:15" x14ac:dyDescent="0.2">
      <c r="A773" s="4">
        <v>771</v>
      </c>
      <c r="B773" s="5">
        <f t="shared" ca="1" si="108"/>
        <v>45549</v>
      </c>
      <c r="C773" s="4" t="str" cm="1">
        <f t="array" aca="1" ref="C773" ca="1">INDEX({"Cochin";"Delhi";"Mumbai";"Pune";"Bengaluru"}, RANDBETWEEN(1,5))</f>
        <v>Bengaluru</v>
      </c>
      <c r="D773" s="4" t="str" cm="1">
        <f t="array" aca="1" ref="D773" ca="1">INDEX({"C-Class";"E-Class";"S-Class";"GLA";"GLC";"GLE";"GLS";"EQB"}, RANDBETWEEN(1,8))</f>
        <v>S-Class</v>
      </c>
      <c r="E773" s="4" t="str">
        <f t="shared" ca="1" si="109"/>
        <v>Sedan</v>
      </c>
      <c r="F773" s="4">
        <f t="shared" ca="1" si="110"/>
        <v>4</v>
      </c>
      <c r="G773" s="8">
        <f t="shared" ca="1" si="111"/>
        <v>23240924</v>
      </c>
      <c r="H773" s="8">
        <f t="shared" ca="1" si="112"/>
        <v>92963696</v>
      </c>
      <c r="I773" s="8">
        <f t="shared" ca="1" si="113"/>
        <v>68793135.040000007</v>
      </c>
      <c r="J773" s="8">
        <f t="shared" ca="1" si="114"/>
        <v>24170560.959999993</v>
      </c>
      <c r="K773" s="6">
        <f t="shared" ca="1" si="115"/>
        <v>0.25999999999999995</v>
      </c>
      <c r="L773" s="4" t="str" cm="1">
        <f t="array" aca="1" ref="L77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73" s="8">
        <f t="shared" ca="1" si="116"/>
        <v>3033</v>
      </c>
      <c r="N773" s="4" t="str" cm="1">
        <f t="array" aca="1" ref="N773" ca="1">INDEX({"New";"Repeat"}, RANDBETWEEN(1,2))</f>
        <v>Repeat</v>
      </c>
      <c r="O773" s="4" t="str" cm="1">
        <f t="array" aca="1" ref="O773" ca="1">INDEX({"Loan";"Cash";"Lease"}, RANDBETWEEN(1,3))</f>
        <v>Cash</v>
      </c>
    </row>
    <row r="774" spans="1:15" x14ac:dyDescent="0.2">
      <c r="A774" s="4">
        <v>772</v>
      </c>
      <c r="B774" s="5">
        <f t="shared" ca="1" si="108"/>
        <v>45011</v>
      </c>
      <c r="C774" s="4" t="str" cm="1">
        <f t="array" aca="1" ref="C774" ca="1">INDEX({"Cochin";"Delhi";"Mumbai";"Pune";"Bengaluru"}, RANDBETWEEN(1,5))</f>
        <v>Bengaluru</v>
      </c>
      <c r="D774" s="4" t="str" cm="1">
        <f t="array" aca="1" ref="D774" ca="1">INDEX({"C-Class";"E-Class";"S-Class";"GLA";"GLC";"GLE";"GLS";"EQB"}, RANDBETWEEN(1,8))</f>
        <v>E-Class</v>
      </c>
      <c r="E774" s="4" t="str">
        <f t="shared" ca="1" si="109"/>
        <v>Sedan</v>
      </c>
      <c r="F774" s="4">
        <f t="shared" ca="1" si="110"/>
        <v>1</v>
      </c>
      <c r="G774" s="8">
        <f t="shared" ca="1" si="111"/>
        <v>9469926</v>
      </c>
      <c r="H774" s="8">
        <f t="shared" ca="1" si="112"/>
        <v>9469926</v>
      </c>
      <c r="I774" s="8">
        <f t="shared" ca="1" si="113"/>
        <v>7386542.2800000003</v>
      </c>
      <c r="J774" s="8">
        <f t="shared" ca="1" si="114"/>
        <v>2083383.7199999997</v>
      </c>
      <c r="K774" s="6">
        <f t="shared" ca="1" si="115"/>
        <v>0.21999999999999997</v>
      </c>
      <c r="L774" s="4" t="str" cm="1">
        <f t="array" aca="1" ref="L77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74" s="8">
        <f t="shared" ca="1" si="116"/>
        <v>7755</v>
      </c>
      <c r="N774" s="4" t="str" cm="1">
        <f t="array" aca="1" ref="N774" ca="1">INDEX({"New";"Repeat"}, RANDBETWEEN(1,2))</f>
        <v>Repeat</v>
      </c>
      <c r="O774" s="4" t="str" cm="1">
        <f t="array" aca="1" ref="O774" ca="1">INDEX({"Loan";"Cash";"Lease"}, RANDBETWEEN(1,3))</f>
        <v>Cash</v>
      </c>
    </row>
    <row r="775" spans="1:15" x14ac:dyDescent="0.2">
      <c r="A775" s="4">
        <v>773</v>
      </c>
      <c r="B775" s="5">
        <f t="shared" ca="1" si="108"/>
        <v>45035</v>
      </c>
      <c r="C775" s="4" t="str" cm="1">
        <f t="array" aca="1" ref="C775" ca="1">INDEX({"Cochin";"Delhi";"Mumbai";"Pune";"Bengaluru"}, RANDBETWEEN(1,5))</f>
        <v>Bengaluru</v>
      </c>
      <c r="D775" s="4" t="str" cm="1">
        <f t="array" aca="1" ref="D775" ca="1">INDEX({"C-Class";"E-Class";"S-Class";"GLA";"GLC";"GLE";"GLS";"EQB"}, RANDBETWEEN(1,8))</f>
        <v>EQB</v>
      </c>
      <c r="E775" s="4" t="str">
        <f t="shared" ca="1" si="109"/>
        <v>EV</v>
      </c>
      <c r="F775" s="4">
        <f t="shared" ca="1" si="110"/>
        <v>4</v>
      </c>
      <c r="G775" s="8">
        <f t="shared" ca="1" si="111"/>
        <v>7211459</v>
      </c>
      <c r="H775" s="8">
        <f t="shared" ca="1" si="112"/>
        <v>28845836</v>
      </c>
      <c r="I775" s="8">
        <f t="shared" ca="1" si="113"/>
        <v>22788210.440000001</v>
      </c>
      <c r="J775" s="8">
        <f t="shared" ca="1" si="114"/>
        <v>6057625.5599999987</v>
      </c>
      <c r="K775" s="6">
        <f t="shared" ca="1" si="115"/>
        <v>0.20999999999999996</v>
      </c>
      <c r="L775" s="4" t="str" cm="1">
        <f t="array" aca="1" ref="L775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75" s="8">
        <f t="shared" ca="1" si="116"/>
        <v>5385</v>
      </c>
      <c r="N775" s="4" t="str" cm="1">
        <f t="array" aca="1" ref="N775" ca="1">INDEX({"New";"Repeat"}, RANDBETWEEN(1,2))</f>
        <v>Repeat</v>
      </c>
      <c r="O775" s="4" t="str" cm="1">
        <f t="array" aca="1" ref="O775" ca="1">INDEX({"Loan";"Cash";"Lease"}, RANDBETWEEN(1,3))</f>
        <v>Lease</v>
      </c>
    </row>
    <row r="776" spans="1:15" x14ac:dyDescent="0.2">
      <c r="A776" s="4">
        <v>774</v>
      </c>
      <c r="B776" s="5">
        <f t="shared" ca="1" si="108"/>
        <v>45191</v>
      </c>
      <c r="C776" s="4" t="str" cm="1">
        <f t="array" aca="1" ref="C776" ca="1">INDEX({"Cochin";"Delhi";"Mumbai";"Pune";"Bengaluru"}, RANDBETWEEN(1,5))</f>
        <v>Cochin</v>
      </c>
      <c r="D776" s="4" t="str" cm="1">
        <f t="array" aca="1" ref="D776" ca="1">INDEX({"C-Class";"E-Class";"S-Class";"GLA";"GLC";"GLE";"GLS";"EQB"}, RANDBETWEEN(1,8))</f>
        <v>GLS</v>
      </c>
      <c r="E776" s="4" t="str">
        <f t="shared" ca="1" si="109"/>
        <v>SUV</v>
      </c>
      <c r="F776" s="4">
        <f t="shared" ca="1" si="110"/>
        <v>1</v>
      </c>
      <c r="G776" s="8">
        <f t="shared" ca="1" si="111"/>
        <v>14101100</v>
      </c>
      <c r="H776" s="8">
        <f t="shared" ca="1" si="112"/>
        <v>14101100</v>
      </c>
      <c r="I776" s="8">
        <f t="shared" ca="1" si="113"/>
        <v>9870770</v>
      </c>
      <c r="J776" s="8">
        <f t="shared" ca="1" si="114"/>
        <v>4230330</v>
      </c>
      <c r="K776" s="6">
        <f t="shared" ca="1" si="115"/>
        <v>0.3</v>
      </c>
      <c r="L776" s="4" t="str" cm="1">
        <f t="array" aca="1" ref="L77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76" s="8">
        <f t="shared" ca="1" si="116"/>
        <v>7283</v>
      </c>
      <c r="N776" s="4" t="str" cm="1">
        <f t="array" aca="1" ref="N776" ca="1">INDEX({"New";"Repeat"}, RANDBETWEEN(1,2))</f>
        <v>Repeat</v>
      </c>
      <c r="O776" s="4" t="str" cm="1">
        <f t="array" aca="1" ref="O776" ca="1">INDEX({"Loan";"Cash";"Lease"}, RANDBETWEEN(1,3))</f>
        <v>Loan</v>
      </c>
    </row>
    <row r="777" spans="1:15" x14ac:dyDescent="0.2">
      <c r="A777" s="4">
        <v>775</v>
      </c>
      <c r="B777" s="5">
        <f t="shared" ca="1" si="108"/>
        <v>45113</v>
      </c>
      <c r="C777" s="4" t="str" cm="1">
        <f t="array" aca="1" ref="C777" ca="1">INDEX({"Cochin";"Delhi";"Mumbai";"Pune";"Bengaluru"}, RANDBETWEEN(1,5))</f>
        <v>Cochin</v>
      </c>
      <c r="D777" s="4" t="str" cm="1">
        <f t="array" aca="1" ref="D777" ca="1">INDEX({"C-Class";"E-Class";"S-Class";"GLA";"GLC";"GLE";"GLS";"EQB"}, RANDBETWEEN(1,8))</f>
        <v>E-Class</v>
      </c>
      <c r="E777" s="4" t="str">
        <f t="shared" ca="1" si="109"/>
        <v>Sedan</v>
      </c>
      <c r="F777" s="4">
        <f t="shared" ca="1" si="110"/>
        <v>4</v>
      </c>
      <c r="G777" s="8">
        <f t="shared" ca="1" si="111"/>
        <v>8460214</v>
      </c>
      <c r="H777" s="8">
        <f t="shared" ca="1" si="112"/>
        <v>33840856</v>
      </c>
      <c r="I777" s="8">
        <f t="shared" ca="1" si="113"/>
        <v>25719050.559999999</v>
      </c>
      <c r="J777" s="8">
        <f t="shared" ca="1" si="114"/>
        <v>8121805.4400000013</v>
      </c>
      <c r="K777" s="6">
        <f t="shared" ca="1" si="115"/>
        <v>0.24000000000000005</v>
      </c>
      <c r="L777" s="4" t="str" cm="1">
        <f t="array" aca="1" ref="L77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77" s="8">
        <f t="shared" ca="1" si="116"/>
        <v>11845</v>
      </c>
      <c r="N777" s="4" t="str" cm="1">
        <f t="array" aca="1" ref="N777" ca="1">INDEX({"New";"Repeat"}, RANDBETWEEN(1,2))</f>
        <v>New</v>
      </c>
      <c r="O777" s="4" t="str" cm="1">
        <f t="array" aca="1" ref="O777" ca="1">INDEX({"Loan";"Cash";"Lease"}, RANDBETWEEN(1,3))</f>
        <v>Lease</v>
      </c>
    </row>
    <row r="778" spans="1:15" x14ac:dyDescent="0.2">
      <c r="A778" s="4">
        <v>776</v>
      </c>
      <c r="B778" s="5">
        <f t="shared" ca="1" si="108"/>
        <v>45413</v>
      </c>
      <c r="C778" s="4" t="str" cm="1">
        <f t="array" aca="1" ref="C778" ca="1">INDEX({"Cochin";"Delhi";"Mumbai";"Pune";"Bengaluru"}, RANDBETWEEN(1,5))</f>
        <v>Mumbai</v>
      </c>
      <c r="D778" s="4" t="str" cm="1">
        <f t="array" aca="1" ref="D778" ca="1">INDEX({"C-Class";"E-Class";"S-Class";"GLA";"GLC";"GLE";"GLS";"EQB"}, RANDBETWEEN(1,8))</f>
        <v>GLE</v>
      </c>
      <c r="E778" s="4" t="str">
        <f t="shared" ca="1" si="109"/>
        <v>SUV</v>
      </c>
      <c r="F778" s="4">
        <f t="shared" ca="1" si="110"/>
        <v>5</v>
      </c>
      <c r="G778" s="8">
        <f t="shared" ca="1" si="111"/>
        <v>10500013</v>
      </c>
      <c r="H778" s="8">
        <f t="shared" ca="1" si="112"/>
        <v>52500065</v>
      </c>
      <c r="I778" s="8">
        <f t="shared" ca="1" si="113"/>
        <v>38325047.450000003</v>
      </c>
      <c r="J778" s="8">
        <f t="shared" ca="1" si="114"/>
        <v>14175017.549999997</v>
      </c>
      <c r="K778" s="6">
        <f t="shared" ca="1" si="115"/>
        <v>0.26999999999999996</v>
      </c>
      <c r="L778" s="4" t="str" cm="1">
        <f t="array" aca="1" ref="L778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778" s="8">
        <f t="shared" ca="1" si="116"/>
        <v>23629</v>
      </c>
      <c r="N778" s="4" t="str" cm="1">
        <f t="array" aca="1" ref="N778" ca="1">INDEX({"New";"Repeat"}, RANDBETWEEN(1,2))</f>
        <v>New</v>
      </c>
      <c r="O778" s="4" t="str" cm="1">
        <f t="array" aca="1" ref="O778" ca="1">INDEX({"Loan";"Cash";"Lease"}, RANDBETWEEN(1,3))</f>
        <v>Cash</v>
      </c>
    </row>
    <row r="779" spans="1:15" x14ac:dyDescent="0.2">
      <c r="A779" s="4">
        <v>777</v>
      </c>
      <c r="B779" s="5">
        <f t="shared" ca="1" si="108"/>
        <v>45448</v>
      </c>
      <c r="C779" s="4" t="str" cm="1">
        <f t="array" aca="1" ref="C779" ca="1">INDEX({"Cochin";"Delhi";"Mumbai";"Pune";"Bengaluru"}, RANDBETWEEN(1,5))</f>
        <v>Mumbai</v>
      </c>
      <c r="D779" s="4" t="str" cm="1">
        <f t="array" aca="1" ref="D779" ca="1">INDEX({"C-Class";"E-Class";"S-Class";"GLA";"GLC";"GLE";"GLS";"EQB"}, RANDBETWEEN(1,8))</f>
        <v>GLA</v>
      </c>
      <c r="E779" s="4" t="str">
        <f t="shared" ca="1" si="109"/>
        <v>SUV</v>
      </c>
      <c r="F779" s="4">
        <f t="shared" ca="1" si="110"/>
        <v>5</v>
      </c>
      <c r="G779" s="8">
        <f t="shared" ca="1" si="111"/>
        <v>5214149</v>
      </c>
      <c r="H779" s="8">
        <f t="shared" ca="1" si="112"/>
        <v>26070745</v>
      </c>
      <c r="I779" s="8">
        <f t="shared" ca="1" si="113"/>
        <v>19813766.199999999</v>
      </c>
      <c r="J779" s="8">
        <f t="shared" ca="1" si="114"/>
        <v>6256978.8000000007</v>
      </c>
      <c r="K779" s="6">
        <f t="shared" ca="1" si="115"/>
        <v>0.24000000000000002</v>
      </c>
      <c r="L779" s="4" t="str" cm="1">
        <f t="array" aca="1" ref="L77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79" s="8">
        <f t="shared" ca="1" si="116"/>
        <v>15311</v>
      </c>
      <c r="N779" s="4" t="str" cm="1">
        <f t="array" aca="1" ref="N779" ca="1">INDEX({"New";"Repeat"}, RANDBETWEEN(1,2))</f>
        <v>New</v>
      </c>
      <c r="O779" s="4" t="str" cm="1">
        <f t="array" aca="1" ref="O779" ca="1">INDEX({"Loan";"Cash";"Lease"}, RANDBETWEEN(1,3))</f>
        <v>Loan</v>
      </c>
    </row>
    <row r="780" spans="1:15" x14ac:dyDescent="0.2">
      <c r="A780" s="4">
        <v>778</v>
      </c>
      <c r="B780" s="5">
        <f t="shared" ca="1" si="108"/>
        <v>45228</v>
      </c>
      <c r="C780" s="4" t="str" cm="1">
        <f t="array" aca="1" ref="C780" ca="1">INDEX({"Cochin";"Delhi";"Mumbai";"Pune";"Bengaluru"}, RANDBETWEEN(1,5))</f>
        <v>Mumbai</v>
      </c>
      <c r="D780" s="4" t="str" cm="1">
        <f t="array" aca="1" ref="D780" ca="1">INDEX({"C-Class";"E-Class";"S-Class";"GLA";"GLC";"GLE";"GLS";"EQB"}, RANDBETWEEN(1,8))</f>
        <v>S-Class</v>
      </c>
      <c r="E780" s="4" t="str">
        <f t="shared" ca="1" si="109"/>
        <v>Sedan</v>
      </c>
      <c r="F780" s="4">
        <f t="shared" ca="1" si="110"/>
        <v>3</v>
      </c>
      <c r="G780" s="8">
        <f t="shared" ca="1" si="111"/>
        <v>18594764</v>
      </c>
      <c r="H780" s="8">
        <f t="shared" ca="1" si="112"/>
        <v>55784292</v>
      </c>
      <c r="I780" s="8">
        <f t="shared" ca="1" si="113"/>
        <v>45185276.520000003</v>
      </c>
      <c r="J780" s="8">
        <f t="shared" ca="1" si="114"/>
        <v>10599015.479999997</v>
      </c>
      <c r="K780" s="6">
        <f t="shared" ca="1" si="115"/>
        <v>0.18999999999999995</v>
      </c>
      <c r="L780" s="4" t="str" cm="1">
        <f t="array" aca="1" ref="L78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780" s="8">
        <f t="shared" ca="1" si="116"/>
        <v>13210</v>
      </c>
      <c r="N780" s="4" t="str" cm="1">
        <f t="array" aca="1" ref="N780" ca="1">INDEX({"New";"Repeat"}, RANDBETWEEN(1,2))</f>
        <v>New</v>
      </c>
      <c r="O780" s="4" t="str" cm="1">
        <f t="array" aca="1" ref="O780" ca="1">INDEX({"Loan";"Cash";"Lease"}, RANDBETWEEN(1,3))</f>
        <v>Cash</v>
      </c>
    </row>
    <row r="781" spans="1:15" x14ac:dyDescent="0.2">
      <c r="A781" s="4">
        <v>779</v>
      </c>
      <c r="B781" s="5">
        <f t="shared" ca="1" si="108"/>
        <v>45831</v>
      </c>
      <c r="C781" s="4" t="str" cm="1">
        <f t="array" aca="1" ref="C781" ca="1">INDEX({"Cochin";"Delhi";"Mumbai";"Pune";"Bengaluru"}, RANDBETWEEN(1,5))</f>
        <v>Bengaluru</v>
      </c>
      <c r="D781" s="4" t="str" cm="1">
        <f t="array" aca="1" ref="D781" ca="1">INDEX({"C-Class";"E-Class";"S-Class";"GLA";"GLC";"GLE";"GLS";"EQB"}, RANDBETWEEN(1,8))</f>
        <v>GLS</v>
      </c>
      <c r="E781" s="4" t="str">
        <f t="shared" ca="1" si="109"/>
        <v>SUV</v>
      </c>
      <c r="F781" s="4">
        <f t="shared" ca="1" si="110"/>
        <v>1</v>
      </c>
      <c r="G781" s="8">
        <f t="shared" ca="1" si="111"/>
        <v>16160929</v>
      </c>
      <c r="H781" s="8">
        <f t="shared" ca="1" si="112"/>
        <v>16160929</v>
      </c>
      <c r="I781" s="8">
        <f t="shared" ca="1" si="113"/>
        <v>11635868.880000001</v>
      </c>
      <c r="J781" s="8">
        <f t="shared" ca="1" si="114"/>
        <v>4525060.1199999992</v>
      </c>
      <c r="K781" s="6">
        <f t="shared" ca="1" si="115"/>
        <v>0.27999999999999997</v>
      </c>
      <c r="L781" s="4" t="str" cm="1">
        <f t="array" aca="1" ref="L78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81" s="8">
        <f t="shared" ca="1" si="116"/>
        <v>3552</v>
      </c>
      <c r="N781" s="4" t="str" cm="1">
        <f t="array" aca="1" ref="N781" ca="1">INDEX({"New";"Repeat"}, RANDBETWEEN(1,2))</f>
        <v>Repeat</v>
      </c>
      <c r="O781" s="4" t="str" cm="1">
        <f t="array" aca="1" ref="O781" ca="1">INDEX({"Loan";"Cash";"Lease"}, RANDBETWEEN(1,3))</f>
        <v>Loan</v>
      </c>
    </row>
    <row r="782" spans="1:15" x14ac:dyDescent="0.2">
      <c r="A782" s="4">
        <v>780</v>
      </c>
      <c r="B782" s="5">
        <f t="shared" ca="1" si="108"/>
        <v>44945</v>
      </c>
      <c r="C782" s="4" t="str" cm="1">
        <f t="array" aca="1" ref="C782" ca="1">INDEX({"Cochin";"Delhi";"Mumbai";"Pune";"Bengaluru"}, RANDBETWEEN(1,5))</f>
        <v>Pune</v>
      </c>
      <c r="D782" s="4" t="str" cm="1">
        <f t="array" aca="1" ref="D782" ca="1">INDEX({"C-Class";"E-Class";"S-Class";"GLA";"GLC";"GLE";"GLS";"EQB"}, RANDBETWEEN(1,8))</f>
        <v>C-Class</v>
      </c>
      <c r="E782" s="4" t="str">
        <f t="shared" ca="1" si="109"/>
        <v>Sedan</v>
      </c>
      <c r="F782" s="4">
        <f t="shared" ca="1" si="110"/>
        <v>4</v>
      </c>
      <c r="G782" s="8">
        <f t="shared" ca="1" si="111"/>
        <v>5928306</v>
      </c>
      <c r="H782" s="8">
        <f t="shared" ca="1" si="112"/>
        <v>23713224</v>
      </c>
      <c r="I782" s="8">
        <f t="shared" ca="1" si="113"/>
        <v>18022050.239999998</v>
      </c>
      <c r="J782" s="8">
        <f t="shared" ca="1" si="114"/>
        <v>5691173.7600000016</v>
      </c>
      <c r="K782" s="6">
        <f t="shared" ca="1" si="115"/>
        <v>0.24000000000000007</v>
      </c>
      <c r="L782" s="4" t="str" cm="1">
        <f t="array" aca="1" ref="L78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82" s="8">
        <f t="shared" ca="1" si="116"/>
        <v>10656</v>
      </c>
      <c r="N782" s="4" t="str" cm="1">
        <f t="array" aca="1" ref="N782" ca="1">INDEX({"New";"Repeat"}, RANDBETWEEN(1,2))</f>
        <v>New</v>
      </c>
      <c r="O782" s="4" t="str" cm="1">
        <f t="array" aca="1" ref="O782" ca="1">INDEX({"Loan";"Cash";"Lease"}, RANDBETWEEN(1,3))</f>
        <v>Lease</v>
      </c>
    </row>
    <row r="783" spans="1:15" x14ac:dyDescent="0.2">
      <c r="A783" s="4">
        <v>781</v>
      </c>
      <c r="B783" s="5">
        <f t="shared" ca="1" si="108"/>
        <v>45130</v>
      </c>
      <c r="C783" s="4" t="str" cm="1">
        <f t="array" aca="1" ref="C783" ca="1">INDEX({"Cochin";"Delhi";"Mumbai";"Pune";"Bengaluru"}, RANDBETWEEN(1,5))</f>
        <v>Mumbai</v>
      </c>
      <c r="D783" s="4" t="str" cm="1">
        <f t="array" aca="1" ref="D783" ca="1">INDEX({"C-Class";"E-Class";"S-Class";"GLA";"GLC";"GLE";"GLS";"EQB"}, RANDBETWEEN(1,8))</f>
        <v>E-Class</v>
      </c>
      <c r="E783" s="4" t="str">
        <f t="shared" ca="1" si="109"/>
        <v>Sedan</v>
      </c>
      <c r="F783" s="4">
        <f t="shared" ca="1" si="110"/>
        <v>2</v>
      </c>
      <c r="G783" s="8">
        <f t="shared" ca="1" si="111"/>
        <v>8887966</v>
      </c>
      <c r="H783" s="8">
        <f t="shared" ca="1" si="112"/>
        <v>17775932</v>
      </c>
      <c r="I783" s="8">
        <f t="shared" ca="1" si="113"/>
        <v>14398504.92</v>
      </c>
      <c r="J783" s="8">
        <f t="shared" ca="1" si="114"/>
        <v>3377427.08</v>
      </c>
      <c r="K783" s="6">
        <f t="shared" ca="1" si="115"/>
        <v>0.19</v>
      </c>
      <c r="L783" s="4" t="str" cm="1">
        <f t="array" aca="1" ref="L783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783" s="8">
        <f t="shared" ca="1" si="116"/>
        <v>3941</v>
      </c>
      <c r="N783" s="4" t="str" cm="1">
        <f t="array" aca="1" ref="N783" ca="1">INDEX({"New";"Repeat"}, RANDBETWEEN(1,2))</f>
        <v>Repeat</v>
      </c>
      <c r="O783" s="4" t="str" cm="1">
        <f t="array" aca="1" ref="O783" ca="1">INDEX({"Loan";"Cash";"Lease"}, RANDBETWEEN(1,3))</f>
        <v>Loan</v>
      </c>
    </row>
    <row r="784" spans="1:15" x14ac:dyDescent="0.2">
      <c r="A784" s="4">
        <v>782</v>
      </c>
      <c r="B784" s="5">
        <f t="shared" ca="1" si="108"/>
        <v>45169</v>
      </c>
      <c r="C784" s="4" t="str" cm="1">
        <f t="array" aca="1" ref="C784" ca="1">INDEX({"Cochin";"Delhi";"Mumbai";"Pune";"Bengaluru"}, RANDBETWEEN(1,5))</f>
        <v>Delhi</v>
      </c>
      <c r="D784" s="4" t="str" cm="1">
        <f t="array" aca="1" ref="D784" ca="1">INDEX({"C-Class";"E-Class";"S-Class";"GLA";"GLC";"GLE";"GLS";"EQB"}, RANDBETWEEN(1,8))</f>
        <v>GLA</v>
      </c>
      <c r="E784" s="4" t="str">
        <f t="shared" ca="1" si="109"/>
        <v>SUV</v>
      </c>
      <c r="F784" s="4">
        <f t="shared" ca="1" si="110"/>
        <v>1</v>
      </c>
      <c r="G784" s="8">
        <f t="shared" ca="1" si="111"/>
        <v>5070612</v>
      </c>
      <c r="H784" s="8">
        <f t="shared" ca="1" si="112"/>
        <v>5070612</v>
      </c>
      <c r="I784" s="8">
        <f t="shared" ca="1" si="113"/>
        <v>3802959</v>
      </c>
      <c r="J784" s="8">
        <f t="shared" ca="1" si="114"/>
        <v>1267653</v>
      </c>
      <c r="K784" s="6">
        <f t="shared" ca="1" si="115"/>
        <v>0.25</v>
      </c>
      <c r="L784" s="4" t="str" cm="1">
        <f t="array" aca="1" ref="L78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84" s="8">
        <f t="shared" ca="1" si="116"/>
        <v>19962</v>
      </c>
      <c r="N784" s="4" t="str" cm="1">
        <f t="array" aca="1" ref="N784" ca="1">INDEX({"New";"Repeat"}, RANDBETWEEN(1,2))</f>
        <v>New</v>
      </c>
      <c r="O784" s="4" t="str" cm="1">
        <f t="array" aca="1" ref="O784" ca="1">INDEX({"Loan";"Cash";"Lease"}, RANDBETWEEN(1,3))</f>
        <v>Lease</v>
      </c>
    </row>
    <row r="785" spans="1:15" x14ac:dyDescent="0.2">
      <c r="A785" s="4">
        <v>783</v>
      </c>
      <c r="B785" s="5">
        <f t="shared" ca="1" si="108"/>
        <v>45043</v>
      </c>
      <c r="C785" s="4" t="str" cm="1">
        <f t="array" aca="1" ref="C785" ca="1">INDEX({"Cochin";"Delhi";"Mumbai";"Pune";"Bengaluru"}, RANDBETWEEN(1,5))</f>
        <v>Pune</v>
      </c>
      <c r="D785" s="4" t="str" cm="1">
        <f t="array" aca="1" ref="D785" ca="1">INDEX({"C-Class";"E-Class";"S-Class";"GLA";"GLC";"GLE";"GLS";"EQB"}, RANDBETWEEN(1,8))</f>
        <v>GLE</v>
      </c>
      <c r="E785" s="4" t="str">
        <f t="shared" ca="1" si="109"/>
        <v>SUV</v>
      </c>
      <c r="F785" s="4">
        <f t="shared" ca="1" si="110"/>
        <v>3</v>
      </c>
      <c r="G785" s="8">
        <f t="shared" ca="1" si="111"/>
        <v>9578076</v>
      </c>
      <c r="H785" s="8">
        <f t="shared" ca="1" si="112"/>
        <v>28734228</v>
      </c>
      <c r="I785" s="8">
        <f t="shared" ca="1" si="113"/>
        <v>22987382.399999999</v>
      </c>
      <c r="J785" s="8">
        <f t="shared" ca="1" si="114"/>
        <v>5746845.6000000015</v>
      </c>
      <c r="K785" s="6">
        <f t="shared" ca="1" si="115"/>
        <v>0.20000000000000004</v>
      </c>
      <c r="L785" s="4" t="str" cm="1">
        <f t="array" aca="1" ref="L78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85" s="8">
        <f t="shared" ca="1" si="116"/>
        <v>21307</v>
      </c>
      <c r="N785" s="4" t="str" cm="1">
        <f t="array" aca="1" ref="N785" ca="1">INDEX({"New";"Repeat"}, RANDBETWEEN(1,2))</f>
        <v>New</v>
      </c>
      <c r="O785" s="4" t="str" cm="1">
        <f t="array" aca="1" ref="O785" ca="1">INDEX({"Loan";"Cash";"Lease"}, RANDBETWEEN(1,3))</f>
        <v>Lease</v>
      </c>
    </row>
    <row r="786" spans="1:15" x14ac:dyDescent="0.2">
      <c r="A786" s="4">
        <v>784</v>
      </c>
      <c r="B786" s="5">
        <f t="shared" ca="1" si="108"/>
        <v>45546</v>
      </c>
      <c r="C786" s="4" t="str" cm="1">
        <f t="array" aca="1" ref="C786" ca="1">INDEX({"Cochin";"Delhi";"Mumbai";"Pune";"Bengaluru"}, RANDBETWEEN(1,5))</f>
        <v>Pune</v>
      </c>
      <c r="D786" s="4" t="str" cm="1">
        <f t="array" aca="1" ref="D786" ca="1">INDEX({"C-Class";"E-Class";"S-Class";"GLA";"GLC";"GLE";"GLS";"EQB"}, RANDBETWEEN(1,8))</f>
        <v>GLS</v>
      </c>
      <c r="E786" s="4" t="str">
        <f t="shared" ca="1" si="109"/>
        <v>SUV</v>
      </c>
      <c r="F786" s="4">
        <f t="shared" ca="1" si="110"/>
        <v>3</v>
      </c>
      <c r="G786" s="8">
        <f t="shared" ca="1" si="111"/>
        <v>13771607</v>
      </c>
      <c r="H786" s="8">
        <f t="shared" ca="1" si="112"/>
        <v>41314821</v>
      </c>
      <c r="I786" s="8">
        <f t="shared" ca="1" si="113"/>
        <v>29746671.120000001</v>
      </c>
      <c r="J786" s="8">
        <f t="shared" ca="1" si="114"/>
        <v>11568149.879999999</v>
      </c>
      <c r="K786" s="6">
        <f t="shared" ca="1" si="115"/>
        <v>0.27999999999999997</v>
      </c>
      <c r="L786" s="4" t="str" cm="1">
        <f t="array" aca="1" ref="L78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786" s="8">
        <f t="shared" ca="1" si="116"/>
        <v>6859</v>
      </c>
      <c r="N786" s="4" t="str" cm="1">
        <f t="array" aca="1" ref="N786" ca="1">INDEX({"New";"Repeat"}, RANDBETWEEN(1,2))</f>
        <v>Repeat</v>
      </c>
      <c r="O786" s="4" t="str" cm="1">
        <f t="array" aca="1" ref="O786" ca="1">INDEX({"Loan";"Cash";"Lease"}, RANDBETWEEN(1,3))</f>
        <v>Lease</v>
      </c>
    </row>
    <row r="787" spans="1:15" x14ac:dyDescent="0.2">
      <c r="A787" s="4">
        <v>785</v>
      </c>
      <c r="B787" s="5">
        <f t="shared" ca="1" si="108"/>
        <v>45819</v>
      </c>
      <c r="C787" s="4" t="str" cm="1">
        <f t="array" aca="1" ref="C787" ca="1">INDEX({"Cochin";"Delhi";"Mumbai";"Pune";"Bengaluru"}, RANDBETWEEN(1,5))</f>
        <v>Mumbai</v>
      </c>
      <c r="D787" s="4" t="str" cm="1">
        <f t="array" aca="1" ref="D787" ca="1">INDEX({"C-Class";"E-Class";"S-Class";"GLA";"GLC";"GLE";"GLS";"EQB"}, RANDBETWEEN(1,8))</f>
        <v>E-Class</v>
      </c>
      <c r="E787" s="4" t="str">
        <f t="shared" ca="1" si="109"/>
        <v>Sedan</v>
      </c>
      <c r="F787" s="4">
        <f t="shared" ca="1" si="110"/>
        <v>1</v>
      </c>
      <c r="G787" s="8">
        <f t="shared" ca="1" si="111"/>
        <v>9174286</v>
      </c>
      <c r="H787" s="8">
        <f t="shared" ca="1" si="112"/>
        <v>9174286</v>
      </c>
      <c r="I787" s="8">
        <f t="shared" ca="1" si="113"/>
        <v>7798143.0999999996</v>
      </c>
      <c r="J787" s="8">
        <f t="shared" ca="1" si="114"/>
        <v>1376142.9000000004</v>
      </c>
      <c r="K787" s="6">
        <f t="shared" ca="1" si="115"/>
        <v>0.15000000000000005</v>
      </c>
      <c r="L787" s="4" t="str" cm="1">
        <f t="array" aca="1" ref="L787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87" s="8">
        <f t="shared" ca="1" si="116"/>
        <v>5965</v>
      </c>
      <c r="N787" s="4" t="str" cm="1">
        <f t="array" aca="1" ref="N787" ca="1">INDEX({"New";"Repeat"}, RANDBETWEEN(1,2))</f>
        <v>Repeat</v>
      </c>
      <c r="O787" s="4" t="str" cm="1">
        <f t="array" aca="1" ref="O787" ca="1">INDEX({"Loan";"Cash";"Lease"}, RANDBETWEEN(1,3))</f>
        <v>Cash</v>
      </c>
    </row>
    <row r="788" spans="1:15" x14ac:dyDescent="0.2">
      <c r="A788" s="4">
        <v>786</v>
      </c>
      <c r="B788" s="5">
        <f t="shared" ca="1" si="108"/>
        <v>45057</v>
      </c>
      <c r="C788" s="4" t="str" cm="1">
        <f t="array" aca="1" ref="C788" ca="1">INDEX({"Cochin";"Delhi";"Mumbai";"Pune";"Bengaluru"}, RANDBETWEEN(1,5))</f>
        <v>Mumbai</v>
      </c>
      <c r="D788" s="4" t="str" cm="1">
        <f t="array" aca="1" ref="D788" ca="1">INDEX({"C-Class";"E-Class";"S-Class";"GLA";"GLC";"GLE";"GLS";"EQB"}, RANDBETWEEN(1,8))</f>
        <v>EQB</v>
      </c>
      <c r="E788" s="4" t="str">
        <f t="shared" ca="1" si="109"/>
        <v>EV</v>
      </c>
      <c r="F788" s="4">
        <f t="shared" ca="1" si="110"/>
        <v>3</v>
      </c>
      <c r="G788" s="8">
        <f t="shared" ca="1" si="111"/>
        <v>7181543</v>
      </c>
      <c r="H788" s="8">
        <f t="shared" ca="1" si="112"/>
        <v>21544629</v>
      </c>
      <c r="I788" s="8">
        <f t="shared" ca="1" si="113"/>
        <v>15296686.59</v>
      </c>
      <c r="J788" s="8">
        <f t="shared" ca="1" si="114"/>
        <v>6247942.4100000001</v>
      </c>
      <c r="K788" s="6">
        <f t="shared" ca="1" si="115"/>
        <v>0.28999999999999998</v>
      </c>
      <c r="L788" s="4" t="str" cm="1">
        <f t="array" aca="1" ref="L788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88" s="8">
        <f t="shared" ca="1" si="116"/>
        <v>18119</v>
      </c>
      <c r="N788" s="4" t="str" cm="1">
        <f t="array" aca="1" ref="N788" ca="1">INDEX({"New";"Repeat"}, RANDBETWEEN(1,2))</f>
        <v>New</v>
      </c>
      <c r="O788" s="4" t="str" cm="1">
        <f t="array" aca="1" ref="O788" ca="1">INDEX({"Loan";"Cash";"Lease"}, RANDBETWEEN(1,3))</f>
        <v>Loan</v>
      </c>
    </row>
    <row r="789" spans="1:15" x14ac:dyDescent="0.2">
      <c r="A789" s="4">
        <v>787</v>
      </c>
      <c r="B789" s="5">
        <f t="shared" ca="1" si="108"/>
        <v>45499</v>
      </c>
      <c r="C789" s="4" t="str" cm="1">
        <f t="array" aca="1" ref="C789" ca="1">INDEX({"Cochin";"Delhi";"Mumbai";"Pune";"Bengaluru"}, RANDBETWEEN(1,5))</f>
        <v>Cochin</v>
      </c>
      <c r="D789" s="4" t="str" cm="1">
        <f t="array" aca="1" ref="D789" ca="1">INDEX({"C-Class";"E-Class";"S-Class";"GLA";"GLC";"GLE";"GLS";"EQB"}, RANDBETWEEN(1,8))</f>
        <v>GLE</v>
      </c>
      <c r="E789" s="4" t="str">
        <f t="shared" ca="1" si="109"/>
        <v>SUV</v>
      </c>
      <c r="F789" s="4">
        <f t="shared" ca="1" si="110"/>
        <v>4</v>
      </c>
      <c r="G789" s="8">
        <f t="shared" ca="1" si="111"/>
        <v>12123538</v>
      </c>
      <c r="H789" s="8">
        <f t="shared" ca="1" si="112"/>
        <v>48494152</v>
      </c>
      <c r="I789" s="8">
        <f t="shared" ca="1" si="113"/>
        <v>40250146.159999996</v>
      </c>
      <c r="J789" s="8">
        <f t="shared" ca="1" si="114"/>
        <v>8244005.8400000036</v>
      </c>
      <c r="K789" s="6">
        <f t="shared" ca="1" si="115"/>
        <v>0.17000000000000007</v>
      </c>
      <c r="L789" s="4" t="str" cm="1">
        <f t="array" aca="1" ref="L78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789" s="8">
        <f t="shared" ca="1" si="116"/>
        <v>18131</v>
      </c>
      <c r="N789" s="4" t="str" cm="1">
        <f t="array" aca="1" ref="N789" ca="1">INDEX({"New";"Repeat"}, RANDBETWEEN(1,2))</f>
        <v>New</v>
      </c>
      <c r="O789" s="4" t="str" cm="1">
        <f t="array" aca="1" ref="O789" ca="1">INDEX({"Loan";"Cash";"Lease"}, RANDBETWEEN(1,3))</f>
        <v>Cash</v>
      </c>
    </row>
    <row r="790" spans="1:15" x14ac:dyDescent="0.2">
      <c r="A790" s="4">
        <v>788</v>
      </c>
      <c r="B790" s="5">
        <f t="shared" ca="1" si="108"/>
        <v>44942</v>
      </c>
      <c r="C790" s="4" t="str" cm="1">
        <f t="array" aca="1" ref="C790" ca="1">INDEX({"Cochin";"Delhi";"Mumbai";"Pune";"Bengaluru"}, RANDBETWEEN(1,5))</f>
        <v>Pune</v>
      </c>
      <c r="D790" s="4" t="str" cm="1">
        <f t="array" aca="1" ref="D790" ca="1">INDEX({"C-Class";"E-Class";"S-Class";"GLA";"GLC";"GLE";"GLS";"EQB"}, RANDBETWEEN(1,8))</f>
        <v>GLA</v>
      </c>
      <c r="E790" s="4" t="str">
        <f t="shared" ca="1" si="109"/>
        <v>SUV</v>
      </c>
      <c r="F790" s="4">
        <f t="shared" ca="1" si="110"/>
        <v>2</v>
      </c>
      <c r="G790" s="8">
        <f t="shared" ca="1" si="111"/>
        <v>4987352</v>
      </c>
      <c r="H790" s="8">
        <f t="shared" ca="1" si="112"/>
        <v>9974704</v>
      </c>
      <c r="I790" s="8">
        <f t="shared" ca="1" si="113"/>
        <v>7181786.8799999999</v>
      </c>
      <c r="J790" s="8">
        <f t="shared" ca="1" si="114"/>
        <v>2792917.12</v>
      </c>
      <c r="K790" s="6">
        <f t="shared" ca="1" si="115"/>
        <v>0.28000000000000003</v>
      </c>
      <c r="L790" s="4" t="str" cm="1">
        <f t="array" aca="1" ref="L79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790" s="8">
        <f t="shared" ca="1" si="116"/>
        <v>22946</v>
      </c>
      <c r="N790" s="4" t="str" cm="1">
        <f t="array" aca="1" ref="N790" ca="1">INDEX({"New";"Repeat"}, RANDBETWEEN(1,2))</f>
        <v>New</v>
      </c>
      <c r="O790" s="4" t="str" cm="1">
        <f t="array" aca="1" ref="O790" ca="1">INDEX({"Loan";"Cash";"Lease"}, RANDBETWEEN(1,3))</f>
        <v>Loan</v>
      </c>
    </row>
    <row r="791" spans="1:15" x14ac:dyDescent="0.2">
      <c r="A791" s="4">
        <v>789</v>
      </c>
      <c r="B791" s="5">
        <f t="shared" ca="1" si="108"/>
        <v>45448</v>
      </c>
      <c r="C791" s="4" t="str" cm="1">
        <f t="array" aca="1" ref="C791" ca="1">INDEX({"Cochin";"Delhi";"Mumbai";"Pune";"Bengaluru"}, RANDBETWEEN(1,5))</f>
        <v>Delhi</v>
      </c>
      <c r="D791" s="4" t="str" cm="1">
        <f t="array" aca="1" ref="D791" ca="1">INDEX({"C-Class";"E-Class";"S-Class";"GLA";"GLC";"GLE";"GLS";"EQB"}, RANDBETWEEN(1,8))</f>
        <v>C-Class</v>
      </c>
      <c r="E791" s="4" t="str">
        <f t="shared" ca="1" si="109"/>
        <v>Sedan</v>
      </c>
      <c r="F791" s="4">
        <f t="shared" ca="1" si="110"/>
        <v>1</v>
      </c>
      <c r="G791" s="8">
        <f t="shared" ca="1" si="111"/>
        <v>6369786</v>
      </c>
      <c r="H791" s="8">
        <f t="shared" ca="1" si="112"/>
        <v>6369786</v>
      </c>
      <c r="I791" s="8">
        <f t="shared" ca="1" si="113"/>
        <v>5286922.38</v>
      </c>
      <c r="J791" s="8">
        <f t="shared" ca="1" si="114"/>
        <v>1082863.6200000001</v>
      </c>
      <c r="K791" s="6">
        <f t="shared" ca="1" si="115"/>
        <v>0.17</v>
      </c>
      <c r="L791" s="4" t="str" cm="1">
        <f t="array" aca="1" ref="L791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91" s="8">
        <f t="shared" ca="1" si="116"/>
        <v>5135</v>
      </c>
      <c r="N791" s="4" t="str" cm="1">
        <f t="array" aca="1" ref="N791" ca="1">INDEX({"New";"Repeat"}, RANDBETWEEN(1,2))</f>
        <v>Repeat</v>
      </c>
      <c r="O791" s="4" t="str" cm="1">
        <f t="array" aca="1" ref="O791" ca="1">INDEX({"Loan";"Cash";"Lease"}, RANDBETWEEN(1,3))</f>
        <v>Loan</v>
      </c>
    </row>
    <row r="792" spans="1:15" x14ac:dyDescent="0.2">
      <c r="A792" s="4">
        <v>790</v>
      </c>
      <c r="B792" s="5">
        <f t="shared" ca="1" si="108"/>
        <v>45781</v>
      </c>
      <c r="C792" s="4" t="str" cm="1">
        <f t="array" aca="1" ref="C792" ca="1">INDEX({"Cochin";"Delhi";"Mumbai";"Pune";"Bengaluru"}, RANDBETWEEN(1,5))</f>
        <v>Mumbai</v>
      </c>
      <c r="D792" s="4" t="str" cm="1">
        <f t="array" aca="1" ref="D792" ca="1">INDEX({"C-Class";"E-Class";"S-Class";"GLA";"GLC";"GLE";"GLS";"EQB"}, RANDBETWEEN(1,8))</f>
        <v>S-Class</v>
      </c>
      <c r="E792" s="4" t="str">
        <f t="shared" ca="1" si="109"/>
        <v>Sedan</v>
      </c>
      <c r="F792" s="4">
        <f t="shared" ca="1" si="110"/>
        <v>4</v>
      </c>
      <c r="G792" s="8">
        <f t="shared" ca="1" si="111"/>
        <v>15279839</v>
      </c>
      <c r="H792" s="8">
        <f t="shared" ca="1" si="112"/>
        <v>61119356</v>
      </c>
      <c r="I792" s="8">
        <f t="shared" ca="1" si="113"/>
        <v>51340259.039999999</v>
      </c>
      <c r="J792" s="8">
        <f t="shared" ca="1" si="114"/>
        <v>9779096.9600000009</v>
      </c>
      <c r="K792" s="6">
        <f t="shared" ca="1" si="115"/>
        <v>0.16</v>
      </c>
      <c r="L792" s="4" t="str" cm="1">
        <f t="array" aca="1" ref="L79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792" s="8">
        <f t="shared" ca="1" si="116"/>
        <v>7624</v>
      </c>
      <c r="N792" s="4" t="str" cm="1">
        <f t="array" aca="1" ref="N792" ca="1">INDEX({"New";"Repeat"}, RANDBETWEEN(1,2))</f>
        <v>Repeat</v>
      </c>
      <c r="O792" s="4" t="str" cm="1">
        <f t="array" aca="1" ref="O792" ca="1">INDEX({"Loan";"Cash";"Lease"}, RANDBETWEEN(1,3))</f>
        <v>Lease</v>
      </c>
    </row>
    <row r="793" spans="1:15" x14ac:dyDescent="0.2">
      <c r="A793" s="4">
        <v>791</v>
      </c>
      <c r="B793" s="5">
        <f t="shared" ca="1" si="108"/>
        <v>45220</v>
      </c>
      <c r="C793" s="4" t="str" cm="1">
        <f t="array" aca="1" ref="C793" ca="1">INDEX({"Cochin";"Delhi";"Mumbai";"Pune";"Bengaluru"}, RANDBETWEEN(1,5))</f>
        <v>Delhi</v>
      </c>
      <c r="D793" s="4" t="str" cm="1">
        <f t="array" aca="1" ref="D793" ca="1">INDEX({"C-Class";"E-Class";"S-Class";"GLA";"GLC";"GLE";"GLS";"EQB"}, RANDBETWEEN(1,8))</f>
        <v>GLE</v>
      </c>
      <c r="E793" s="4" t="str">
        <f t="shared" ca="1" si="109"/>
        <v>SUV</v>
      </c>
      <c r="F793" s="4">
        <f t="shared" ca="1" si="110"/>
        <v>4</v>
      </c>
      <c r="G793" s="8">
        <f t="shared" ca="1" si="111"/>
        <v>11533827</v>
      </c>
      <c r="H793" s="8">
        <f t="shared" ca="1" si="112"/>
        <v>46135308</v>
      </c>
      <c r="I793" s="8">
        <f t="shared" ca="1" si="113"/>
        <v>36446893.32</v>
      </c>
      <c r="J793" s="8">
        <f t="shared" ca="1" si="114"/>
        <v>9688414.6799999997</v>
      </c>
      <c r="K793" s="6">
        <f t="shared" ca="1" si="115"/>
        <v>0.21</v>
      </c>
      <c r="L793" s="4" t="str" cm="1">
        <f t="array" aca="1" ref="L79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793" s="8">
        <f t="shared" ca="1" si="116"/>
        <v>13154</v>
      </c>
      <c r="N793" s="4" t="str" cm="1">
        <f t="array" aca="1" ref="N793" ca="1">INDEX({"New";"Repeat"}, RANDBETWEEN(1,2))</f>
        <v>New</v>
      </c>
      <c r="O793" s="4" t="str" cm="1">
        <f t="array" aca="1" ref="O793" ca="1">INDEX({"Loan";"Cash";"Lease"}, RANDBETWEEN(1,3))</f>
        <v>Cash</v>
      </c>
    </row>
    <row r="794" spans="1:15" x14ac:dyDescent="0.2">
      <c r="A794" s="4">
        <v>792</v>
      </c>
      <c r="B794" s="5">
        <f t="shared" ca="1" si="108"/>
        <v>45368</v>
      </c>
      <c r="C794" s="4" t="str" cm="1">
        <f t="array" aca="1" ref="C794" ca="1">INDEX({"Cochin";"Delhi";"Mumbai";"Pune";"Bengaluru"}, RANDBETWEEN(1,5))</f>
        <v>Mumbai</v>
      </c>
      <c r="D794" s="4" t="str" cm="1">
        <f t="array" aca="1" ref="D794" ca="1">INDEX({"C-Class";"E-Class";"S-Class";"GLA";"GLC";"GLE";"GLS";"EQB"}, RANDBETWEEN(1,8))</f>
        <v>GLC</v>
      </c>
      <c r="E794" s="4" t="str">
        <f t="shared" ca="1" si="109"/>
        <v>SUV</v>
      </c>
      <c r="F794" s="4">
        <f t="shared" ca="1" si="110"/>
        <v>3</v>
      </c>
      <c r="G794" s="8">
        <f t="shared" ca="1" si="111"/>
        <v>6629204</v>
      </c>
      <c r="H794" s="8">
        <f t="shared" ca="1" si="112"/>
        <v>19887612</v>
      </c>
      <c r="I794" s="8">
        <f t="shared" ca="1" si="113"/>
        <v>14915709</v>
      </c>
      <c r="J794" s="8">
        <f t="shared" ca="1" si="114"/>
        <v>4971903</v>
      </c>
      <c r="K794" s="6">
        <f t="shared" ca="1" si="115"/>
        <v>0.25</v>
      </c>
      <c r="L794" s="4" t="str" cm="1">
        <f t="array" aca="1" ref="L79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794" s="8">
        <f t="shared" ca="1" si="116"/>
        <v>4554</v>
      </c>
      <c r="N794" s="4" t="str" cm="1">
        <f t="array" aca="1" ref="N794" ca="1">INDEX({"New";"Repeat"}, RANDBETWEEN(1,2))</f>
        <v>Repeat</v>
      </c>
      <c r="O794" s="4" t="str" cm="1">
        <f t="array" aca="1" ref="O794" ca="1">INDEX({"Loan";"Cash";"Lease"}, RANDBETWEEN(1,3))</f>
        <v>Cash</v>
      </c>
    </row>
    <row r="795" spans="1:15" x14ac:dyDescent="0.2">
      <c r="A795" s="4">
        <v>793</v>
      </c>
      <c r="B795" s="5">
        <f t="shared" ca="1" si="108"/>
        <v>45209</v>
      </c>
      <c r="C795" s="4" t="str" cm="1">
        <f t="array" aca="1" ref="C795" ca="1">INDEX({"Cochin";"Delhi";"Mumbai";"Pune";"Bengaluru"}, RANDBETWEEN(1,5))</f>
        <v>Delhi</v>
      </c>
      <c r="D795" s="4" t="str" cm="1">
        <f t="array" aca="1" ref="D795" ca="1">INDEX({"C-Class";"E-Class";"S-Class";"GLA";"GLC";"GLE";"GLS";"EQB"}, RANDBETWEEN(1,8))</f>
        <v>GLS</v>
      </c>
      <c r="E795" s="4" t="str">
        <f t="shared" ca="1" si="109"/>
        <v>SUV</v>
      </c>
      <c r="F795" s="4">
        <f t="shared" ca="1" si="110"/>
        <v>2</v>
      </c>
      <c r="G795" s="8">
        <f t="shared" ca="1" si="111"/>
        <v>16473971</v>
      </c>
      <c r="H795" s="8">
        <f t="shared" ca="1" si="112"/>
        <v>32947942</v>
      </c>
      <c r="I795" s="8">
        <f t="shared" ca="1" si="113"/>
        <v>28005750.699999999</v>
      </c>
      <c r="J795" s="8">
        <f t="shared" ca="1" si="114"/>
        <v>4942191.3000000007</v>
      </c>
      <c r="K795" s="6">
        <f t="shared" ca="1" si="115"/>
        <v>0.15000000000000002</v>
      </c>
      <c r="L795" s="4" t="str" cm="1">
        <f t="array" aca="1" ref="L79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795" s="8">
        <f t="shared" ca="1" si="116"/>
        <v>5338</v>
      </c>
      <c r="N795" s="4" t="str" cm="1">
        <f t="array" aca="1" ref="N795" ca="1">INDEX({"New";"Repeat"}, RANDBETWEEN(1,2))</f>
        <v>Repeat</v>
      </c>
      <c r="O795" s="4" t="str" cm="1">
        <f t="array" aca="1" ref="O795" ca="1">INDEX({"Loan";"Cash";"Lease"}, RANDBETWEEN(1,3))</f>
        <v>Cash</v>
      </c>
    </row>
    <row r="796" spans="1:15" x14ac:dyDescent="0.2">
      <c r="A796" s="4">
        <v>794</v>
      </c>
      <c r="B796" s="5">
        <f t="shared" ca="1" si="108"/>
        <v>45133</v>
      </c>
      <c r="C796" s="4" t="str" cm="1">
        <f t="array" aca="1" ref="C796" ca="1">INDEX({"Cochin";"Delhi";"Mumbai";"Pune";"Bengaluru"}, RANDBETWEEN(1,5))</f>
        <v>Pune</v>
      </c>
      <c r="D796" s="4" t="str" cm="1">
        <f t="array" aca="1" ref="D796" ca="1">INDEX({"C-Class";"E-Class";"S-Class";"GLA";"GLC";"GLE";"GLS";"EQB"}, RANDBETWEEN(1,8))</f>
        <v>GLS</v>
      </c>
      <c r="E796" s="4" t="str">
        <f t="shared" ca="1" si="109"/>
        <v>SUV</v>
      </c>
      <c r="F796" s="4">
        <f t="shared" ca="1" si="110"/>
        <v>2</v>
      </c>
      <c r="G796" s="8">
        <f t="shared" ca="1" si="111"/>
        <v>16138773</v>
      </c>
      <c r="H796" s="8">
        <f t="shared" ca="1" si="112"/>
        <v>32277546</v>
      </c>
      <c r="I796" s="8">
        <f t="shared" ca="1" si="113"/>
        <v>25176485.879999999</v>
      </c>
      <c r="J796" s="8">
        <f t="shared" ca="1" si="114"/>
        <v>7101060.120000001</v>
      </c>
      <c r="K796" s="6">
        <f t="shared" ca="1" si="115"/>
        <v>0.22000000000000003</v>
      </c>
      <c r="L796" s="4" t="str" cm="1">
        <f t="array" aca="1" ref="L79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796" s="8">
        <f t="shared" ca="1" si="116"/>
        <v>5772</v>
      </c>
      <c r="N796" s="4" t="str" cm="1">
        <f t="array" aca="1" ref="N796" ca="1">INDEX({"New";"Repeat"}, RANDBETWEEN(1,2))</f>
        <v>Repeat</v>
      </c>
      <c r="O796" s="4" t="str" cm="1">
        <f t="array" aca="1" ref="O796" ca="1">INDEX({"Loan";"Cash";"Lease"}, RANDBETWEEN(1,3))</f>
        <v>Cash</v>
      </c>
    </row>
    <row r="797" spans="1:15" x14ac:dyDescent="0.2">
      <c r="A797" s="4">
        <v>795</v>
      </c>
      <c r="B797" s="5">
        <f t="shared" ca="1" si="108"/>
        <v>45042</v>
      </c>
      <c r="C797" s="4" t="str" cm="1">
        <f t="array" aca="1" ref="C797" ca="1">INDEX({"Cochin";"Delhi";"Mumbai";"Pune";"Bengaluru"}, RANDBETWEEN(1,5))</f>
        <v>Delhi</v>
      </c>
      <c r="D797" s="4" t="str" cm="1">
        <f t="array" aca="1" ref="D797" ca="1">INDEX({"C-Class";"E-Class";"S-Class";"GLA";"GLC";"GLE";"GLS";"EQB"}, RANDBETWEEN(1,8))</f>
        <v>EQB</v>
      </c>
      <c r="E797" s="4" t="str">
        <f t="shared" ca="1" si="109"/>
        <v>EV</v>
      </c>
      <c r="F797" s="4">
        <f t="shared" ca="1" si="110"/>
        <v>2</v>
      </c>
      <c r="G797" s="8">
        <f t="shared" ca="1" si="111"/>
        <v>7542898</v>
      </c>
      <c r="H797" s="8">
        <f t="shared" ca="1" si="112"/>
        <v>15085796</v>
      </c>
      <c r="I797" s="8">
        <f t="shared" ca="1" si="113"/>
        <v>11465204.960000001</v>
      </c>
      <c r="J797" s="8">
        <f t="shared" ca="1" si="114"/>
        <v>3620591.0399999991</v>
      </c>
      <c r="K797" s="6">
        <f t="shared" ca="1" si="115"/>
        <v>0.23999999999999994</v>
      </c>
      <c r="L797" s="4" t="str" cm="1">
        <f t="array" aca="1" ref="L797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97" s="8">
        <f t="shared" ca="1" si="116"/>
        <v>11677</v>
      </c>
      <c r="N797" s="4" t="str" cm="1">
        <f t="array" aca="1" ref="N797" ca="1">INDEX({"New";"Repeat"}, RANDBETWEEN(1,2))</f>
        <v>New</v>
      </c>
      <c r="O797" s="4" t="str" cm="1">
        <f t="array" aca="1" ref="O797" ca="1">INDEX({"Loan";"Cash";"Lease"}, RANDBETWEEN(1,3))</f>
        <v>Lease</v>
      </c>
    </row>
    <row r="798" spans="1:15" x14ac:dyDescent="0.2">
      <c r="A798" s="4">
        <v>796</v>
      </c>
      <c r="B798" s="5">
        <f t="shared" ca="1" si="108"/>
        <v>45848</v>
      </c>
      <c r="C798" s="4" t="str" cm="1">
        <f t="array" aca="1" ref="C798" ca="1">INDEX({"Cochin";"Delhi";"Mumbai";"Pune";"Bengaluru"}, RANDBETWEEN(1,5))</f>
        <v>Delhi</v>
      </c>
      <c r="D798" s="4" t="str" cm="1">
        <f t="array" aca="1" ref="D798" ca="1">INDEX({"C-Class";"E-Class";"S-Class";"GLA";"GLC";"GLE";"GLS";"EQB"}, RANDBETWEEN(1,8))</f>
        <v>E-Class</v>
      </c>
      <c r="E798" s="4" t="str">
        <f t="shared" ca="1" si="109"/>
        <v>Sedan</v>
      </c>
      <c r="F798" s="4">
        <f t="shared" ca="1" si="110"/>
        <v>5</v>
      </c>
      <c r="G798" s="8">
        <f t="shared" ca="1" si="111"/>
        <v>9397554</v>
      </c>
      <c r="H798" s="8">
        <f t="shared" ca="1" si="112"/>
        <v>46987770</v>
      </c>
      <c r="I798" s="8">
        <f t="shared" ca="1" si="113"/>
        <v>35710705.200000003</v>
      </c>
      <c r="J798" s="8">
        <f t="shared" ca="1" si="114"/>
        <v>11277064.799999997</v>
      </c>
      <c r="K798" s="6">
        <f t="shared" ca="1" si="115"/>
        <v>0.23999999999999994</v>
      </c>
      <c r="L798" s="4" t="str" cm="1">
        <f t="array" aca="1" ref="L79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798" s="8">
        <f t="shared" ca="1" si="116"/>
        <v>15312</v>
      </c>
      <c r="N798" s="4" t="str" cm="1">
        <f t="array" aca="1" ref="N798" ca="1">INDEX({"New";"Repeat"}, RANDBETWEEN(1,2))</f>
        <v>New</v>
      </c>
      <c r="O798" s="4" t="str" cm="1">
        <f t="array" aca="1" ref="O798" ca="1">INDEX({"Loan";"Cash";"Lease"}, RANDBETWEEN(1,3))</f>
        <v>Lease</v>
      </c>
    </row>
    <row r="799" spans="1:15" x14ac:dyDescent="0.2">
      <c r="A799" s="4">
        <v>797</v>
      </c>
      <c r="B799" s="5">
        <f t="shared" ca="1" si="108"/>
        <v>45584</v>
      </c>
      <c r="C799" s="4" t="str" cm="1">
        <f t="array" aca="1" ref="C799" ca="1">INDEX({"Cochin";"Delhi";"Mumbai";"Pune";"Bengaluru"}, RANDBETWEEN(1,5))</f>
        <v>Delhi</v>
      </c>
      <c r="D799" s="4" t="str" cm="1">
        <f t="array" aca="1" ref="D799" ca="1">INDEX({"C-Class";"E-Class";"S-Class";"GLA";"GLC";"GLE";"GLS";"EQB"}, RANDBETWEEN(1,8))</f>
        <v>GLA</v>
      </c>
      <c r="E799" s="4" t="str">
        <f t="shared" ca="1" si="109"/>
        <v>SUV</v>
      </c>
      <c r="F799" s="4">
        <f t="shared" ca="1" si="110"/>
        <v>5</v>
      </c>
      <c r="G799" s="8">
        <f t="shared" ca="1" si="111"/>
        <v>4569945</v>
      </c>
      <c r="H799" s="8">
        <f t="shared" ca="1" si="112"/>
        <v>22849725</v>
      </c>
      <c r="I799" s="8">
        <f t="shared" ca="1" si="113"/>
        <v>18051282.75</v>
      </c>
      <c r="J799" s="8">
        <f t="shared" ca="1" si="114"/>
        <v>4798442.25</v>
      </c>
      <c r="K799" s="6">
        <f t="shared" ca="1" si="115"/>
        <v>0.21</v>
      </c>
      <c r="L799" s="4" t="str" cm="1">
        <f t="array" aca="1" ref="L79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799" s="8">
        <f t="shared" ca="1" si="116"/>
        <v>7716</v>
      </c>
      <c r="N799" s="4" t="str" cm="1">
        <f t="array" aca="1" ref="N799" ca="1">INDEX({"New";"Repeat"}, RANDBETWEEN(1,2))</f>
        <v>Repeat</v>
      </c>
      <c r="O799" s="4" t="str" cm="1">
        <f t="array" aca="1" ref="O799" ca="1">INDEX({"Loan";"Cash";"Lease"}, RANDBETWEEN(1,3))</f>
        <v>Loan</v>
      </c>
    </row>
    <row r="800" spans="1:15" x14ac:dyDescent="0.2">
      <c r="A800" s="4">
        <v>798</v>
      </c>
      <c r="B800" s="5">
        <f t="shared" ca="1" si="108"/>
        <v>45298</v>
      </c>
      <c r="C800" s="4" t="str" cm="1">
        <f t="array" aca="1" ref="C800" ca="1">INDEX({"Cochin";"Delhi";"Mumbai";"Pune";"Bengaluru"}, RANDBETWEEN(1,5))</f>
        <v>Cochin</v>
      </c>
      <c r="D800" s="4" t="str" cm="1">
        <f t="array" aca="1" ref="D800" ca="1">INDEX({"C-Class";"E-Class";"S-Class";"GLA";"GLC";"GLE";"GLS";"EQB"}, RANDBETWEEN(1,8))</f>
        <v>E-Class</v>
      </c>
      <c r="E800" s="4" t="str">
        <f t="shared" ca="1" si="109"/>
        <v>Sedan</v>
      </c>
      <c r="F800" s="4">
        <f t="shared" ca="1" si="110"/>
        <v>2</v>
      </c>
      <c r="G800" s="8">
        <f t="shared" ca="1" si="111"/>
        <v>8771817</v>
      </c>
      <c r="H800" s="8">
        <f t="shared" ca="1" si="112"/>
        <v>17543634</v>
      </c>
      <c r="I800" s="8">
        <f t="shared" ca="1" si="113"/>
        <v>13508598.18</v>
      </c>
      <c r="J800" s="8">
        <f t="shared" ca="1" si="114"/>
        <v>4035035.8200000003</v>
      </c>
      <c r="K800" s="6">
        <f t="shared" ca="1" si="115"/>
        <v>0.23</v>
      </c>
      <c r="L800" s="4" t="str" cm="1">
        <f t="array" aca="1" ref="L80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00" s="8">
        <f t="shared" ca="1" si="116"/>
        <v>4026</v>
      </c>
      <c r="N800" s="4" t="str" cm="1">
        <f t="array" aca="1" ref="N800" ca="1">INDEX({"New";"Repeat"}, RANDBETWEEN(1,2))</f>
        <v>Repeat</v>
      </c>
      <c r="O800" s="4" t="str" cm="1">
        <f t="array" aca="1" ref="O800" ca="1">INDEX({"Loan";"Cash";"Lease"}, RANDBETWEEN(1,3))</f>
        <v>Cash</v>
      </c>
    </row>
    <row r="801" spans="1:15" x14ac:dyDescent="0.2">
      <c r="A801" s="4">
        <v>799</v>
      </c>
      <c r="B801" s="5">
        <f t="shared" ca="1" si="108"/>
        <v>45045</v>
      </c>
      <c r="C801" s="4" t="str" cm="1">
        <f t="array" aca="1" ref="C801" ca="1">INDEX({"Cochin";"Delhi";"Mumbai";"Pune";"Bengaluru"}, RANDBETWEEN(1,5))</f>
        <v>Pune</v>
      </c>
      <c r="D801" s="4" t="str" cm="1">
        <f t="array" aca="1" ref="D801" ca="1">INDEX({"C-Class";"E-Class";"S-Class";"GLA";"GLC";"GLE";"GLS";"EQB"}, RANDBETWEEN(1,8))</f>
        <v>GLE</v>
      </c>
      <c r="E801" s="4" t="str">
        <f t="shared" ca="1" si="109"/>
        <v>SUV</v>
      </c>
      <c r="F801" s="4">
        <f t="shared" ca="1" si="110"/>
        <v>2</v>
      </c>
      <c r="G801" s="8">
        <f t="shared" ca="1" si="111"/>
        <v>12123452</v>
      </c>
      <c r="H801" s="8">
        <f t="shared" ca="1" si="112"/>
        <v>24246904</v>
      </c>
      <c r="I801" s="8">
        <f t="shared" ca="1" si="113"/>
        <v>17700239.920000002</v>
      </c>
      <c r="J801" s="8">
        <f t="shared" ca="1" si="114"/>
        <v>6546664.0799999982</v>
      </c>
      <c r="K801" s="6">
        <f t="shared" ca="1" si="115"/>
        <v>0.26999999999999991</v>
      </c>
      <c r="L801" s="4" t="str" cm="1">
        <f t="array" aca="1" ref="L801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01" s="8">
        <f t="shared" ca="1" si="116"/>
        <v>6127</v>
      </c>
      <c r="N801" s="4" t="str" cm="1">
        <f t="array" aca="1" ref="N801" ca="1">INDEX({"New";"Repeat"}, RANDBETWEEN(1,2))</f>
        <v>Repeat</v>
      </c>
      <c r="O801" s="4" t="str" cm="1">
        <f t="array" aca="1" ref="O801" ca="1">INDEX({"Loan";"Cash";"Lease"}, RANDBETWEEN(1,3))</f>
        <v>Lease</v>
      </c>
    </row>
    <row r="802" spans="1:15" x14ac:dyDescent="0.2">
      <c r="A802" s="4">
        <v>800</v>
      </c>
      <c r="B802" s="5">
        <f t="shared" ca="1" si="108"/>
        <v>45127</v>
      </c>
      <c r="C802" s="4" t="str" cm="1">
        <f t="array" aca="1" ref="C802" ca="1">INDEX({"Cochin";"Delhi";"Mumbai";"Pune";"Bengaluru"}, RANDBETWEEN(1,5))</f>
        <v>Bengaluru</v>
      </c>
      <c r="D802" s="4" t="str" cm="1">
        <f t="array" aca="1" ref="D802" ca="1">INDEX({"C-Class";"E-Class";"S-Class";"GLA";"GLC";"GLE";"GLS";"EQB"}, RANDBETWEEN(1,8))</f>
        <v>GLE</v>
      </c>
      <c r="E802" s="4" t="str">
        <f t="shared" ca="1" si="109"/>
        <v>SUV</v>
      </c>
      <c r="F802" s="4">
        <f t="shared" ca="1" si="110"/>
        <v>3</v>
      </c>
      <c r="G802" s="8">
        <f t="shared" ca="1" si="111"/>
        <v>9112776</v>
      </c>
      <c r="H802" s="8">
        <f t="shared" ca="1" si="112"/>
        <v>27338328</v>
      </c>
      <c r="I802" s="8">
        <f t="shared" ca="1" si="113"/>
        <v>19136829.600000001</v>
      </c>
      <c r="J802" s="8">
        <f t="shared" ca="1" si="114"/>
        <v>8201498.3999999985</v>
      </c>
      <c r="K802" s="6">
        <f t="shared" ca="1" si="115"/>
        <v>0.29999999999999993</v>
      </c>
      <c r="L802" s="4" t="str" cm="1">
        <f t="array" aca="1" ref="L802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02" s="8">
        <f t="shared" ca="1" si="116"/>
        <v>7450</v>
      </c>
      <c r="N802" s="4" t="str" cm="1">
        <f t="array" aca="1" ref="N802" ca="1">INDEX({"New";"Repeat"}, RANDBETWEEN(1,2))</f>
        <v>Repeat</v>
      </c>
      <c r="O802" s="4" t="str" cm="1">
        <f t="array" aca="1" ref="O802" ca="1">INDEX({"Loan";"Cash";"Lease"}, RANDBETWEEN(1,3))</f>
        <v>Lease</v>
      </c>
    </row>
    <row r="803" spans="1:15" x14ac:dyDescent="0.2">
      <c r="A803" s="4">
        <v>801</v>
      </c>
      <c r="B803" s="5">
        <f t="shared" ca="1" si="108"/>
        <v>45375</v>
      </c>
      <c r="C803" s="4" t="str" cm="1">
        <f t="array" aca="1" ref="C803" ca="1">INDEX({"Cochin";"Delhi";"Mumbai";"Pune";"Bengaluru"}, RANDBETWEEN(1,5))</f>
        <v>Delhi</v>
      </c>
      <c r="D803" s="4" t="str" cm="1">
        <f t="array" aca="1" ref="D803" ca="1">INDEX({"C-Class";"E-Class";"S-Class";"GLA";"GLC";"GLE";"GLS";"EQB"}, RANDBETWEEN(1,8))</f>
        <v>S-Class</v>
      </c>
      <c r="E803" s="4" t="str">
        <f t="shared" ca="1" si="109"/>
        <v>Sedan</v>
      </c>
      <c r="F803" s="4">
        <f t="shared" ca="1" si="110"/>
        <v>4</v>
      </c>
      <c r="G803" s="8">
        <f t="shared" ca="1" si="111"/>
        <v>23254653</v>
      </c>
      <c r="H803" s="8">
        <f t="shared" ca="1" si="112"/>
        <v>93018612</v>
      </c>
      <c r="I803" s="8">
        <f t="shared" ca="1" si="113"/>
        <v>71624331.239999995</v>
      </c>
      <c r="J803" s="8">
        <f t="shared" ca="1" si="114"/>
        <v>21394280.760000005</v>
      </c>
      <c r="K803" s="6">
        <f t="shared" ca="1" si="115"/>
        <v>0.23000000000000007</v>
      </c>
      <c r="L803" s="4" t="str" cm="1">
        <f t="array" aca="1" ref="L80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803" s="8">
        <f t="shared" ca="1" si="116"/>
        <v>4628</v>
      </c>
      <c r="N803" s="4" t="str" cm="1">
        <f t="array" aca="1" ref="N803" ca="1">INDEX({"New";"Repeat"}, RANDBETWEEN(1,2))</f>
        <v>Repeat</v>
      </c>
      <c r="O803" s="4" t="str" cm="1">
        <f t="array" aca="1" ref="O803" ca="1">INDEX({"Loan";"Cash";"Lease"}, RANDBETWEEN(1,3))</f>
        <v>Loan</v>
      </c>
    </row>
    <row r="804" spans="1:15" x14ac:dyDescent="0.2">
      <c r="A804" s="4">
        <v>802</v>
      </c>
      <c r="B804" s="5">
        <f t="shared" ca="1" si="108"/>
        <v>45015</v>
      </c>
      <c r="C804" s="4" t="str" cm="1">
        <f t="array" aca="1" ref="C804" ca="1">INDEX({"Cochin";"Delhi";"Mumbai";"Pune";"Bengaluru"}, RANDBETWEEN(1,5))</f>
        <v>Pune</v>
      </c>
      <c r="D804" s="4" t="str" cm="1">
        <f t="array" aca="1" ref="D804" ca="1">INDEX({"C-Class";"E-Class";"S-Class";"GLA";"GLC";"GLE";"GLS";"EQB"}, RANDBETWEEN(1,8))</f>
        <v>S-Class</v>
      </c>
      <c r="E804" s="4" t="str">
        <f t="shared" ca="1" si="109"/>
        <v>Sedan</v>
      </c>
      <c r="F804" s="4">
        <f t="shared" ca="1" si="110"/>
        <v>5</v>
      </c>
      <c r="G804" s="8">
        <f t="shared" ca="1" si="111"/>
        <v>18306268</v>
      </c>
      <c r="H804" s="8">
        <f t="shared" ca="1" si="112"/>
        <v>91531340</v>
      </c>
      <c r="I804" s="8">
        <f t="shared" ca="1" si="113"/>
        <v>69563818.400000006</v>
      </c>
      <c r="J804" s="8">
        <f t="shared" ca="1" si="114"/>
        <v>21967521.599999994</v>
      </c>
      <c r="K804" s="6">
        <f t="shared" ca="1" si="115"/>
        <v>0.23999999999999994</v>
      </c>
      <c r="L804" s="4" t="str" cm="1">
        <f t="array" aca="1" ref="L804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04" s="8">
        <f t="shared" ca="1" si="116"/>
        <v>4385</v>
      </c>
      <c r="N804" s="4" t="str" cm="1">
        <f t="array" aca="1" ref="N804" ca="1">INDEX({"New";"Repeat"}, RANDBETWEEN(1,2))</f>
        <v>Repeat</v>
      </c>
      <c r="O804" s="4" t="str" cm="1">
        <f t="array" aca="1" ref="O804" ca="1">INDEX({"Loan";"Cash";"Lease"}, RANDBETWEEN(1,3))</f>
        <v>Cash</v>
      </c>
    </row>
    <row r="805" spans="1:15" x14ac:dyDescent="0.2">
      <c r="A805" s="4">
        <v>803</v>
      </c>
      <c r="B805" s="5">
        <f t="shared" ca="1" si="108"/>
        <v>45204</v>
      </c>
      <c r="C805" s="4" t="str" cm="1">
        <f t="array" aca="1" ref="C805" ca="1">INDEX({"Cochin";"Delhi";"Mumbai";"Pune";"Bengaluru"}, RANDBETWEEN(1,5))</f>
        <v>Pune</v>
      </c>
      <c r="D805" s="4" t="str" cm="1">
        <f t="array" aca="1" ref="D805" ca="1">INDEX({"C-Class";"E-Class";"S-Class";"GLA";"GLC";"GLE";"GLS";"EQB"}, RANDBETWEEN(1,8))</f>
        <v>GLE</v>
      </c>
      <c r="E805" s="4" t="str">
        <f t="shared" ca="1" si="109"/>
        <v>SUV</v>
      </c>
      <c r="F805" s="4">
        <f t="shared" ca="1" si="110"/>
        <v>4</v>
      </c>
      <c r="G805" s="8">
        <f t="shared" ca="1" si="111"/>
        <v>9018850</v>
      </c>
      <c r="H805" s="8">
        <f t="shared" ca="1" si="112"/>
        <v>36075400</v>
      </c>
      <c r="I805" s="8">
        <f t="shared" ca="1" si="113"/>
        <v>28138812</v>
      </c>
      <c r="J805" s="8">
        <f t="shared" ca="1" si="114"/>
        <v>7936588</v>
      </c>
      <c r="K805" s="6">
        <f t="shared" ca="1" si="115"/>
        <v>0.22</v>
      </c>
      <c r="L805" s="4" t="str" cm="1">
        <f t="array" aca="1" ref="L80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05" s="8">
        <f t="shared" ca="1" si="116"/>
        <v>6182</v>
      </c>
      <c r="N805" s="4" t="str" cm="1">
        <f t="array" aca="1" ref="N805" ca="1">INDEX({"New";"Repeat"}, RANDBETWEEN(1,2))</f>
        <v>Repeat</v>
      </c>
      <c r="O805" s="4" t="str" cm="1">
        <f t="array" aca="1" ref="O805" ca="1">INDEX({"Loan";"Cash";"Lease"}, RANDBETWEEN(1,3))</f>
        <v>Lease</v>
      </c>
    </row>
    <row r="806" spans="1:15" x14ac:dyDescent="0.2">
      <c r="A806" s="4">
        <v>804</v>
      </c>
      <c r="B806" s="5">
        <f t="shared" ca="1" si="108"/>
        <v>45801</v>
      </c>
      <c r="C806" s="4" t="str" cm="1">
        <f t="array" aca="1" ref="C806" ca="1">INDEX({"Cochin";"Delhi";"Mumbai";"Pune";"Bengaluru"}, RANDBETWEEN(1,5))</f>
        <v>Bengaluru</v>
      </c>
      <c r="D806" s="4" t="str" cm="1">
        <f t="array" aca="1" ref="D806" ca="1">INDEX({"C-Class";"E-Class";"S-Class";"GLA";"GLC";"GLE";"GLS";"EQB"}, RANDBETWEEN(1,8))</f>
        <v>GLE</v>
      </c>
      <c r="E806" s="4" t="str">
        <f t="shared" ca="1" si="109"/>
        <v>SUV</v>
      </c>
      <c r="F806" s="4">
        <f t="shared" ca="1" si="110"/>
        <v>1</v>
      </c>
      <c r="G806" s="8">
        <f t="shared" ca="1" si="111"/>
        <v>12277577</v>
      </c>
      <c r="H806" s="8">
        <f t="shared" ca="1" si="112"/>
        <v>12277577</v>
      </c>
      <c r="I806" s="8">
        <f t="shared" ca="1" si="113"/>
        <v>8962631.2100000009</v>
      </c>
      <c r="J806" s="8">
        <f t="shared" ca="1" si="114"/>
        <v>3314945.7899999991</v>
      </c>
      <c r="K806" s="6">
        <f t="shared" ca="1" si="115"/>
        <v>0.26999999999999991</v>
      </c>
      <c r="L806" s="4" t="str" cm="1">
        <f t="array" aca="1" ref="L80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06" s="8">
        <f t="shared" ca="1" si="116"/>
        <v>7413</v>
      </c>
      <c r="N806" s="4" t="str" cm="1">
        <f t="array" aca="1" ref="N806" ca="1">INDEX({"New";"Repeat"}, RANDBETWEEN(1,2))</f>
        <v>Repeat</v>
      </c>
      <c r="O806" s="4" t="str" cm="1">
        <f t="array" aca="1" ref="O806" ca="1">INDEX({"Loan";"Cash";"Lease"}, RANDBETWEEN(1,3))</f>
        <v>Loan</v>
      </c>
    </row>
    <row r="807" spans="1:15" x14ac:dyDescent="0.2">
      <c r="A807" s="4">
        <v>805</v>
      </c>
      <c r="B807" s="5">
        <f t="shared" ca="1" si="108"/>
        <v>45593</v>
      </c>
      <c r="C807" s="4" t="str" cm="1">
        <f t="array" aca="1" ref="C807" ca="1">INDEX({"Cochin";"Delhi";"Mumbai";"Pune";"Bengaluru"}, RANDBETWEEN(1,5))</f>
        <v>Pune</v>
      </c>
      <c r="D807" s="4" t="str" cm="1">
        <f t="array" aca="1" ref="D807" ca="1">INDEX({"C-Class";"E-Class";"S-Class";"GLA";"GLC";"GLE";"GLS";"EQB"}, RANDBETWEEN(1,8))</f>
        <v>GLE</v>
      </c>
      <c r="E807" s="4" t="str">
        <f t="shared" ca="1" si="109"/>
        <v>SUV</v>
      </c>
      <c r="F807" s="4">
        <f t="shared" ca="1" si="110"/>
        <v>3</v>
      </c>
      <c r="G807" s="8">
        <f t="shared" ca="1" si="111"/>
        <v>10175078</v>
      </c>
      <c r="H807" s="8">
        <f t="shared" ca="1" si="112"/>
        <v>30525234</v>
      </c>
      <c r="I807" s="8">
        <f t="shared" ca="1" si="113"/>
        <v>25946448.899999999</v>
      </c>
      <c r="J807" s="8">
        <f t="shared" ca="1" si="114"/>
        <v>4578785.1000000015</v>
      </c>
      <c r="K807" s="6">
        <f t="shared" ca="1" si="115"/>
        <v>0.15000000000000005</v>
      </c>
      <c r="L807" s="4" t="str" cm="1">
        <f t="array" aca="1" ref="L80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07" s="8">
        <f t="shared" ca="1" si="116"/>
        <v>7633</v>
      </c>
      <c r="N807" s="4" t="str" cm="1">
        <f t="array" aca="1" ref="N807" ca="1">INDEX({"New";"Repeat"}, RANDBETWEEN(1,2))</f>
        <v>Repeat</v>
      </c>
      <c r="O807" s="4" t="str" cm="1">
        <f t="array" aca="1" ref="O807" ca="1">INDEX({"Loan";"Cash";"Lease"}, RANDBETWEEN(1,3))</f>
        <v>Loan</v>
      </c>
    </row>
    <row r="808" spans="1:15" x14ac:dyDescent="0.2">
      <c r="A808" s="4">
        <v>806</v>
      </c>
      <c r="B808" s="5">
        <f t="shared" ca="1" si="108"/>
        <v>44943</v>
      </c>
      <c r="C808" s="4" t="str" cm="1">
        <f t="array" aca="1" ref="C808" ca="1">INDEX({"Cochin";"Delhi";"Mumbai";"Pune";"Bengaluru"}, RANDBETWEEN(1,5))</f>
        <v>Pune</v>
      </c>
      <c r="D808" s="4" t="str" cm="1">
        <f t="array" aca="1" ref="D808" ca="1">INDEX({"C-Class";"E-Class";"S-Class";"GLA";"GLC";"GLE";"GLS";"EQB"}, RANDBETWEEN(1,8))</f>
        <v>GLA</v>
      </c>
      <c r="E808" s="4" t="str">
        <f t="shared" ca="1" si="109"/>
        <v>SUV</v>
      </c>
      <c r="F808" s="4">
        <f t="shared" ca="1" si="110"/>
        <v>3</v>
      </c>
      <c r="G808" s="8">
        <f t="shared" ca="1" si="111"/>
        <v>4685448</v>
      </c>
      <c r="H808" s="8">
        <f t="shared" ca="1" si="112"/>
        <v>14056344</v>
      </c>
      <c r="I808" s="8">
        <f t="shared" ca="1" si="113"/>
        <v>11666765.52</v>
      </c>
      <c r="J808" s="8">
        <f t="shared" ca="1" si="114"/>
        <v>2389578.4800000004</v>
      </c>
      <c r="K808" s="6">
        <f t="shared" ca="1" si="115"/>
        <v>0.17000000000000004</v>
      </c>
      <c r="L808" s="4" t="str" cm="1">
        <f t="array" aca="1" ref="L80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08" s="8">
        <f t="shared" ca="1" si="116"/>
        <v>5776</v>
      </c>
      <c r="N808" s="4" t="str" cm="1">
        <f t="array" aca="1" ref="N808" ca="1">INDEX({"New";"Repeat"}, RANDBETWEEN(1,2))</f>
        <v>Repeat</v>
      </c>
      <c r="O808" s="4" t="str" cm="1">
        <f t="array" aca="1" ref="O808" ca="1">INDEX({"Loan";"Cash";"Lease"}, RANDBETWEEN(1,3))</f>
        <v>Loan</v>
      </c>
    </row>
    <row r="809" spans="1:15" x14ac:dyDescent="0.2">
      <c r="A809" s="4">
        <v>807</v>
      </c>
      <c r="B809" s="5">
        <f t="shared" ca="1" si="108"/>
        <v>45894</v>
      </c>
      <c r="C809" s="4" t="str" cm="1">
        <f t="array" aca="1" ref="C809" ca="1">INDEX({"Cochin";"Delhi";"Mumbai";"Pune";"Bengaluru"}, RANDBETWEEN(1,5))</f>
        <v>Bengaluru</v>
      </c>
      <c r="D809" s="4" t="str" cm="1">
        <f t="array" aca="1" ref="D809" ca="1">INDEX({"C-Class";"E-Class";"S-Class";"GLA";"GLC";"GLE";"GLS";"EQB"}, RANDBETWEEN(1,8))</f>
        <v>GLS</v>
      </c>
      <c r="E809" s="4" t="str">
        <f t="shared" ca="1" si="109"/>
        <v>SUV</v>
      </c>
      <c r="F809" s="4">
        <f t="shared" ca="1" si="110"/>
        <v>3</v>
      </c>
      <c r="G809" s="8">
        <f t="shared" ca="1" si="111"/>
        <v>16252398</v>
      </c>
      <c r="H809" s="8">
        <f t="shared" ca="1" si="112"/>
        <v>48757194</v>
      </c>
      <c r="I809" s="8">
        <f t="shared" ca="1" si="113"/>
        <v>37055467.439999998</v>
      </c>
      <c r="J809" s="8">
        <f t="shared" ca="1" si="114"/>
        <v>11701726.560000002</v>
      </c>
      <c r="K809" s="6">
        <f t="shared" ca="1" si="115"/>
        <v>0.24000000000000005</v>
      </c>
      <c r="L809" s="4" t="str" cm="1">
        <f t="array" aca="1" ref="L80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09" s="8">
        <f t="shared" ca="1" si="116"/>
        <v>3306</v>
      </c>
      <c r="N809" s="4" t="str" cm="1">
        <f t="array" aca="1" ref="N809" ca="1">INDEX({"New";"Repeat"}, RANDBETWEEN(1,2))</f>
        <v>Repeat</v>
      </c>
      <c r="O809" s="4" t="str" cm="1">
        <f t="array" aca="1" ref="O809" ca="1">INDEX({"Loan";"Cash";"Lease"}, RANDBETWEEN(1,3))</f>
        <v>Lease</v>
      </c>
    </row>
    <row r="810" spans="1:15" x14ac:dyDescent="0.2">
      <c r="A810" s="4">
        <v>808</v>
      </c>
      <c r="B810" s="5">
        <f t="shared" ca="1" si="108"/>
        <v>45585</v>
      </c>
      <c r="C810" s="4" t="str" cm="1">
        <f t="array" aca="1" ref="C810" ca="1">INDEX({"Cochin";"Delhi";"Mumbai";"Pune";"Bengaluru"}, RANDBETWEEN(1,5))</f>
        <v>Delhi</v>
      </c>
      <c r="D810" s="4" t="str" cm="1">
        <f t="array" aca="1" ref="D810" ca="1">INDEX({"C-Class";"E-Class";"S-Class";"GLA";"GLC";"GLE";"GLS";"EQB"}, RANDBETWEEN(1,8))</f>
        <v>GLS</v>
      </c>
      <c r="E810" s="4" t="str">
        <f t="shared" ca="1" si="109"/>
        <v>SUV</v>
      </c>
      <c r="F810" s="4">
        <f t="shared" ca="1" si="110"/>
        <v>5</v>
      </c>
      <c r="G810" s="8">
        <f t="shared" ca="1" si="111"/>
        <v>17352254</v>
      </c>
      <c r="H810" s="8">
        <f t="shared" ca="1" si="112"/>
        <v>86761270</v>
      </c>
      <c r="I810" s="8">
        <f t="shared" ca="1" si="113"/>
        <v>64203339.799999997</v>
      </c>
      <c r="J810" s="8">
        <f t="shared" ca="1" si="114"/>
        <v>22557930.200000003</v>
      </c>
      <c r="K810" s="6">
        <f t="shared" ca="1" si="115"/>
        <v>0.26</v>
      </c>
      <c r="L810" s="4" t="str" cm="1">
        <f t="array" aca="1" ref="L81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10" s="8">
        <f t="shared" ca="1" si="116"/>
        <v>6434</v>
      </c>
      <c r="N810" s="4" t="str" cm="1">
        <f t="array" aca="1" ref="N810" ca="1">INDEX({"New";"Repeat"}, RANDBETWEEN(1,2))</f>
        <v>Repeat</v>
      </c>
      <c r="O810" s="4" t="str" cm="1">
        <f t="array" aca="1" ref="O810" ca="1">INDEX({"Loan";"Cash";"Lease"}, RANDBETWEEN(1,3))</f>
        <v>Cash</v>
      </c>
    </row>
    <row r="811" spans="1:15" x14ac:dyDescent="0.2">
      <c r="A811" s="4">
        <v>809</v>
      </c>
      <c r="B811" s="5">
        <f t="shared" ca="1" si="108"/>
        <v>45439</v>
      </c>
      <c r="C811" s="4" t="str" cm="1">
        <f t="array" aca="1" ref="C811" ca="1">INDEX({"Cochin";"Delhi";"Mumbai";"Pune";"Bengaluru"}, RANDBETWEEN(1,5))</f>
        <v>Bengaluru</v>
      </c>
      <c r="D811" s="4" t="str" cm="1">
        <f t="array" aca="1" ref="D811" ca="1">INDEX({"C-Class";"E-Class";"S-Class";"GLA";"GLC";"GLE";"GLS";"EQB"}, RANDBETWEEN(1,8))</f>
        <v>EQB</v>
      </c>
      <c r="E811" s="4" t="str">
        <f t="shared" ca="1" si="109"/>
        <v>EV</v>
      </c>
      <c r="F811" s="4">
        <f t="shared" ca="1" si="110"/>
        <v>4</v>
      </c>
      <c r="G811" s="8">
        <f t="shared" ca="1" si="111"/>
        <v>7021045</v>
      </c>
      <c r="H811" s="8">
        <f t="shared" ca="1" si="112"/>
        <v>28084180</v>
      </c>
      <c r="I811" s="8">
        <f t="shared" ca="1" si="113"/>
        <v>23029027.600000001</v>
      </c>
      <c r="J811" s="8">
        <f t="shared" ca="1" si="114"/>
        <v>5055152.3999999985</v>
      </c>
      <c r="K811" s="6">
        <f t="shared" ca="1" si="115"/>
        <v>0.17999999999999994</v>
      </c>
      <c r="L811" s="4" t="str" cm="1">
        <f t="array" aca="1" ref="L81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11" s="8">
        <f t="shared" ca="1" si="116"/>
        <v>5474</v>
      </c>
      <c r="N811" s="4" t="str" cm="1">
        <f t="array" aca="1" ref="N811" ca="1">INDEX({"New";"Repeat"}, RANDBETWEEN(1,2))</f>
        <v>Repeat</v>
      </c>
      <c r="O811" s="4" t="str" cm="1">
        <f t="array" aca="1" ref="O811" ca="1">INDEX({"Loan";"Cash";"Lease"}, RANDBETWEEN(1,3))</f>
        <v>Cash</v>
      </c>
    </row>
    <row r="812" spans="1:15" x14ac:dyDescent="0.2">
      <c r="A812" s="4">
        <v>810</v>
      </c>
      <c r="B812" s="5">
        <f t="shared" ca="1" si="108"/>
        <v>45605</v>
      </c>
      <c r="C812" s="4" t="str" cm="1">
        <f t="array" aca="1" ref="C812" ca="1">INDEX({"Cochin";"Delhi";"Mumbai";"Pune";"Bengaluru"}, RANDBETWEEN(1,5))</f>
        <v>Cochin</v>
      </c>
      <c r="D812" s="4" t="str" cm="1">
        <f t="array" aca="1" ref="D812" ca="1">INDEX({"C-Class";"E-Class";"S-Class";"GLA";"GLC";"GLE";"GLS";"EQB"}, RANDBETWEEN(1,8))</f>
        <v>EQB</v>
      </c>
      <c r="E812" s="4" t="str">
        <f t="shared" ca="1" si="109"/>
        <v>EV</v>
      </c>
      <c r="F812" s="4">
        <f t="shared" ca="1" si="110"/>
        <v>4</v>
      </c>
      <c r="G812" s="8">
        <f t="shared" ca="1" si="111"/>
        <v>7990541</v>
      </c>
      <c r="H812" s="8">
        <f t="shared" ca="1" si="112"/>
        <v>31962164</v>
      </c>
      <c r="I812" s="8">
        <f t="shared" ca="1" si="113"/>
        <v>27167839.399999999</v>
      </c>
      <c r="J812" s="8">
        <f t="shared" ca="1" si="114"/>
        <v>4794324.6000000015</v>
      </c>
      <c r="K812" s="6">
        <f t="shared" ca="1" si="115"/>
        <v>0.15000000000000005</v>
      </c>
      <c r="L812" s="4" t="str" cm="1">
        <f t="array" aca="1" ref="L81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12" s="8">
        <f t="shared" ca="1" si="116"/>
        <v>6939</v>
      </c>
      <c r="N812" s="4" t="str" cm="1">
        <f t="array" aca="1" ref="N812" ca="1">INDEX({"New";"Repeat"}, RANDBETWEEN(1,2))</f>
        <v>Repeat</v>
      </c>
      <c r="O812" s="4" t="str" cm="1">
        <f t="array" aca="1" ref="O812" ca="1">INDEX({"Loan";"Cash";"Lease"}, RANDBETWEEN(1,3))</f>
        <v>Lease</v>
      </c>
    </row>
    <row r="813" spans="1:15" x14ac:dyDescent="0.2">
      <c r="A813" s="4">
        <v>811</v>
      </c>
      <c r="B813" s="5">
        <f t="shared" ca="1" si="108"/>
        <v>45250</v>
      </c>
      <c r="C813" s="4" t="str" cm="1">
        <f t="array" aca="1" ref="C813" ca="1">INDEX({"Cochin";"Delhi";"Mumbai";"Pune";"Bengaluru"}, RANDBETWEEN(1,5))</f>
        <v>Delhi</v>
      </c>
      <c r="D813" s="4" t="str" cm="1">
        <f t="array" aca="1" ref="D813" ca="1">INDEX({"C-Class";"E-Class";"S-Class";"GLA";"GLC";"GLE";"GLS";"EQB"}, RANDBETWEEN(1,8))</f>
        <v>E-Class</v>
      </c>
      <c r="E813" s="4" t="str">
        <f t="shared" ca="1" si="109"/>
        <v>Sedan</v>
      </c>
      <c r="F813" s="4">
        <f t="shared" ca="1" si="110"/>
        <v>4</v>
      </c>
      <c r="G813" s="8">
        <f t="shared" ca="1" si="111"/>
        <v>9152726</v>
      </c>
      <c r="H813" s="8">
        <f t="shared" ca="1" si="112"/>
        <v>36610904</v>
      </c>
      <c r="I813" s="8">
        <f t="shared" ca="1" si="113"/>
        <v>27458178</v>
      </c>
      <c r="J813" s="8">
        <f t="shared" ca="1" si="114"/>
        <v>9152726</v>
      </c>
      <c r="K813" s="6">
        <f t="shared" ca="1" si="115"/>
        <v>0.25</v>
      </c>
      <c r="L813" s="4" t="str" cm="1">
        <f t="array" aca="1" ref="L81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13" s="8">
        <f t="shared" ca="1" si="116"/>
        <v>21870</v>
      </c>
      <c r="N813" s="4" t="str" cm="1">
        <f t="array" aca="1" ref="N813" ca="1">INDEX({"New";"Repeat"}, RANDBETWEEN(1,2))</f>
        <v>New</v>
      </c>
      <c r="O813" s="4" t="str" cm="1">
        <f t="array" aca="1" ref="O813" ca="1">INDEX({"Loan";"Cash";"Lease"}, RANDBETWEEN(1,3))</f>
        <v>Cash</v>
      </c>
    </row>
    <row r="814" spans="1:15" x14ac:dyDescent="0.2">
      <c r="A814" s="4">
        <v>812</v>
      </c>
      <c r="B814" s="5">
        <f t="shared" ca="1" si="108"/>
        <v>45030</v>
      </c>
      <c r="C814" s="4" t="str" cm="1">
        <f t="array" aca="1" ref="C814" ca="1">INDEX({"Cochin";"Delhi";"Mumbai";"Pune";"Bengaluru"}, RANDBETWEEN(1,5))</f>
        <v>Cochin</v>
      </c>
      <c r="D814" s="4" t="str" cm="1">
        <f t="array" aca="1" ref="D814" ca="1">INDEX({"C-Class";"E-Class";"S-Class";"GLA";"GLC";"GLE";"GLS";"EQB"}, RANDBETWEEN(1,8))</f>
        <v>S-Class</v>
      </c>
      <c r="E814" s="4" t="str">
        <f t="shared" ca="1" si="109"/>
        <v>Sedan</v>
      </c>
      <c r="F814" s="4">
        <f t="shared" ca="1" si="110"/>
        <v>1</v>
      </c>
      <c r="G814" s="8">
        <f t="shared" ca="1" si="111"/>
        <v>19678819</v>
      </c>
      <c r="H814" s="8">
        <f t="shared" ca="1" si="112"/>
        <v>19678819</v>
      </c>
      <c r="I814" s="8">
        <f t="shared" ca="1" si="113"/>
        <v>14759114.25</v>
      </c>
      <c r="J814" s="8">
        <f t="shared" ca="1" si="114"/>
        <v>4919704.75</v>
      </c>
      <c r="K814" s="6">
        <f t="shared" ca="1" si="115"/>
        <v>0.25</v>
      </c>
      <c r="L814" s="4" t="str" cm="1">
        <f t="array" aca="1" ref="L81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14" s="8">
        <f t="shared" ca="1" si="116"/>
        <v>21704</v>
      </c>
      <c r="N814" s="4" t="str" cm="1">
        <f t="array" aca="1" ref="N814" ca="1">INDEX({"New";"Repeat"}, RANDBETWEEN(1,2))</f>
        <v>New</v>
      </c>
      <c r="O814" s="4" t="str" cm="1">
        <f t="array" aca="1" ref="O814" ca="1">INDEX({"Loan";"Cash";"Lease"}, RANDBETWEEN(1,3))</f>
        <v>Loan</v>
      </c>
    </row>
    <row r="815" spans="1:15" x14ac:dyDescent="0.2">
      <c r="A815" s="4">
        <v>813</v>
      </c>
      <c r="B815" s="5">
        <f t="shared" ca="1" si="108"/>
        <v>45164</v>
      </c>
      <c r="C815" s="4" t="str" cm="1">
        <f t="array" aca="1" ref="C815" ca="1">INDEX({"Cochin";"Delhi";"Mumbai";"Pune";"Bengaluru"}, RANDBETWEEN(1,5))</f>
        <v>Cochin</v>
      </c>
      <c r="D815" s="4" t="str" cm="1">
        <f t="array" aca="1" ref="D815" ca="1">INDEX({"C-Class";"E-Class";"S-Class";"GLA";"GLC";"GLE";"GLS";"EQB"}, RANDBETWEEN(1,8))</f>
        <v>C-Class</v>
      </c>
      <c r="E815" s="4" t="str">
        <f t="shared" ca="1" si="109"/>
        <v>Sedan</v>
      </c>
      <c r="F815" s="4">
        <f t="shared" ca="1" si="110"/>
        <v>5</v>
      </c>
      <c r="G815" s="8">
        <f t="shared" ca="1" si="111"/>
        <v>6247582</v>
      </c>
      <c r="H815" s="8">
        <f t="shared" ca="1" si="112"/>
        <v>31237910</v>
      </c>
      <c r="I815" s="8">
        <f t="shared" ca="1" si="113"/>
        <v>23740811.600000001</v>
      </c>
      <c r="J815" s="8">
        <f t="shared" ca="1" si="114"/>
        <v>7497098.3999999985</v>
      </c>
      <c r="K815" s="6">
        <f t="shared" ca="1" si="115"/>
        <v>0.23999999999999996</v>
      </c>
      <c r="L815" s="4" t="str" cm="1">
        <f t="array" aca="1" ref="L81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15" s="8">
        <f t="shared" ca="1" si="116"/>
        <v>5187</v>
      </c>
      <c r="N815" s="4" t="str" cm="1">
        <f t="array" aca="1" ref="N815" ca="1">INDEX({"New";"Repeat"}, RANDBETWEEN(1,2))</f>
        <v>Repeat</v>
      </c>
      <c r="O815" s="4" t="str" cm="1">
        <f t="array" aca="1" ref="O815" ca="1">INDEX({"Loan";"Cash";"Lease"}, RANDBETWEEN(1,3))</f>
        <v>Cash</v>
      </c>
    </row>
    <row r="816" spans="1:15" x14ac:dyDescent="0.2">
      <c r="A816" s="4">
        <v>814</v>
      </c>
      <c r="B816" s="5">
        <f t="shared" ca="1" si="108"/>
        <v>45546</v>
      </c>
      <c r="C816" s="4" t="str" cm="1">
        <f t="array" aca="1" ref="C816" ca="1">INDEX({"Cochin";"Delhi";"Mumbai";"Pune";"Bengaluru"}, RANDBETWEEN(1,5))</f>
        <v>Pune</v>
      </c>
      <c r="D816" s="4" t="str" cm="1">
        <f t="array" aca="1" ref="D816" ca="1">INDEX({"C-Class";"E-Class";"S-Class";"GLA";"GLC";"GLE";"GLS";"EQB"}, RANDBETWEEN(1,8))</f>
        <v>GLC</v>
      </c>
      <c r="E816" s="4" t="str">
        <f t="shared" ca="1" si="109"/>
        <v>SUV</v>
      </c>
      <c r="F816" s="4">
        <f t="shared" ca="1" si="110"/>
        <v>4</v>
      </c>
      <c r="G816" s="8">
        <f t="shared" ca="1" si="111"/>
        <v>7251331</v>
      </c>
      <c r="H816" s="8">
        <f t="shared" ca="1" si="112"/>
        <v>29005324</v>
      </c>
      <c r="I816" s="8">
        <f t="shared" ca="1" si="113"/>
        <v>23204259.199999999</v>
      </c>
      <c r="J816" s="8">
        <f t="shared" ca="1" si="114"/>
        <v>5801064.8000000007</v>
      </c>
      <c r="K816" s="6">
        <f t="shared" ca="1" si="115"/>
        <v>0.20000000000000004</v>
      </c>
      <c r="L816" s="4" t="str" cm="1">
        <f t="array" aca="1" ref="L81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16" s="8">
        <f t="shared" ca="1" si="116"/>
        <v>17130</v>
      </c>
      <c r="N816" s="4" t="str" cm="1">
        <f t="array" aca="1" ref="N816" ca="1">INDEX({"New";"Repeat"}, RANDBETWEEN(1,2))</f>
        <v>New</v>
      </c>
      <c r="O816" s="4" t="str" cm="1">
        <f t="array" aca="1" ref="O816" ca="1">INDEX({"Loan";"Cash";"Lease"}, RANDBETWEEN(1,3))</f>
        <v>Cash</v>
      </c>
    </row>
    <row r="817" spans="1:15" x14ac:dyDescent="0.2">
      <c r="A817" s="4">
        <v>815</v>
      </c>
      <c r="B817" s="5">
        <f t="shared" ca="1" si="108"/>
        <v>44979</v>
      </c>
      <c r="C817" s="4" t="str" cm="1">
        <f t="array" aca="1" ref="C817" ca="1">INDEX({"Cochin";"Delhi";"Mumbai";"Pune";"Bengaluru"}, RANDBETWEEN(1,5))</f>
        <v>Delhi</v>
      </c>
      <c r="D817" s="4" t="str" cm="1">
        <f t="array" aca="1" ref="D817" ca="1">INDEX({"C-Class";"E-Class";"S-Class";"GLA";"GLC";"GLE";"GLS";"EQB"}, RANDBETWEEN(1,8))</f>
        <v>E-Class</v>
      </c>
      <c r="E817" s="4" t="str">
        <f t="shared" ca="1" si="109"/>
        <v>Sedan</v>
      </c>
      <c r="F817" s="4">
        <f t="shared" ca="1" si="110"/>
        <v>1</v>
      </c>
      <c r="G817" s="8">
        <f t="shared" ca="1" si="111"/>
        <v>7654983</v>
      </c>
      <c r="H817" s="8">
        <f t="shared" ca="1" si="112"/>
        <v>7654983</v>
      </c>
      <c r="I817" s="8">
        <f t="shared" ca="1" si="113"/>
        <v>6277086.0599999996</v>
      </c>
      <c r="J817" s="8">
        <f t="shared" ca="1" si="114"/>
        <v>1377896.9400000004</v>
      </c>
      <c r="K817" s="6">
        <f t="shared" ca="1" si="115"/>
        <v>0.18000000000000005</v>
      </c>
      <c r="L817" s="4" t="str" cm="1">
        <f t="array" aca="1" ref="L81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17" s="8">
        <f t="shared" ca="1" si="116"/>
        <v>12777</v>
      </c>
      <c r="N817" s="4" t="str" cm="1">
        <f t="array" aca="1" ref="N817" ca="1">INDEX({"New";"Repeat"}, RANDBETWEEN(1,2))</f>
        <v>New</v>
      </c>
      <c r="O817" s="4" t="str" cm="1">
        <f t="array" aca="1" ref="O817" ca="1">INDEX({"Loan";"Cash";"Lease"}, RANDBETWEEN(1,3))</f>
        <v>Lease</v>
      </c>
    </row>
    <row r="818" spans="1:15" x14ac:dyDescent="0.2">
      <c r="A818" s="4">
        <v>816</v>
      </c>
      <c r="B818" s="5">
        <f t="shared" ca="1" si="108"/>
        <v>45080</v>
      </c>
      <c r="C818" s="4" t="str" cm="1">
        <f t="array" aca="1" ref="C818" ca="1">INDEX({"Cochin";"Delhi";"Mumbai";"Pune";"Bengaluru"}, RANDBETWEEN(1,5))</f>
        <v>Delhi</v>
      </c>
      <c r="D818" s="4" t="str" cm="1">
        <f t="array" aca="1" ref="D818" ca="1">INDEX({"C-Class";"E-Class";"S-Class";"GLA";"GLC";"GLE";"GLS";"EQB"}, RANDBETWEEN(1,8))</f>
        <v>GLC</v>
      </c>
      <c r="E818" s="4" t="str">
        <f t="shared" ca="1" si="109"/>
        <v>SUV</v>
      </c>
      <c r="F818" s="4">
        <f t="shared" ca="1" si="110"/>
        <v>2</v>
      </c>
      <c r="G818" s="8">
        <f t="shared" ca="1" si="111"/>
        <v>7368568</v>
      </c>
      <c r="H818" s="8">
        <f t="shared" ca="1" si="112"/>
        <v>14737136</v>
      </c>
      <c r="I818" s="8">
        <f t="shared" ca="1" si="113"/>
        <v>10758109.279999999</v>
      </c>
      <c r="J818" s="8">
        <f t="shared" ca="1" si="114"/>
        <v>3979026.7200000007</v>
      </c>
      <c r="K818" s="6">
        <f t="shared" ca="1" si="115"/>
        <v>0.27</v>
      </c>
      <c r="L818" s="4" t="str" cm="1">
        <f t="array" aca="1" ref="L818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18" s="8">
        <f t="shared" ca="1" si="116"/>
        <v>23818</v>
      </c>
      <c r="N818" s="4" t="str" cm="1">
        <f t="array" aca="1" ref="N818" ca="1">INDEX({"New";"Repeat"}, RANDBETWEEN(1,2))</f>
        <v>New</v>
      </c>
      <c r="O818" s="4" t="str" cm="1">
        <f t="array" aca="1" ref="O818" ca="1">INDEX({"Loan";"Cash";"Lease"}, RANDBETWEEN(1,3))</f>
        <v>Lease</v>
      </c>
    </row>
    <row r="819" spans="1:15" x14ac:dyDescent="0.2">
      <c r="A819" s="4">
        <v>817</v>
      </c>
      <c r="B819" s="5">
        <f t="shared" ca="1" si="108"/>
        <v>45849</v>
      </c>
      <c r="C819" s="4" t="str" cm="1">
        <f t="array" aca="1" ref="C819" ca="1">INDEX({"Cochin";"Delhi";"Mumbai";"Pune";"Bengaluru"}, RANDBETWEEN(1,5))</f>
        <v>Cochin</v>
      </c>
      <c r="D819" s="4" t="str" cm="1">
        <f t="array" aca="1" ref="D819" ca="1">INDEX({"C-Class";"E-Class";"S-Class";"GLA";"GLC";"GLE";"GLS";"EQB"}, RANDBETWEEN(1,8))</f>
        <v>GLC</v>
      </c>
      <c r="E819" s="4" t="str">
        <f t="shared" ca="1" si="109"/>
        <v>SUV</v>
      </c>
      <c r="F819" s="4">
        <f t="shared" ca="1" si="110"/>
        <v>3</v>
      </c>
      <c r="G819" s="8">
        <f t="shared" ca="1" si="111"/>
        <v>6819145</v>
      </c>
      <c r="H819" s="8">
        <f t="shared" ca="1" si="112"/>
        <v>20457435</v>
      </c>
      <c r="I819" s="8">
        <f t="shared" ca="1" si="113"/>
        <v>15956799.300000001</v>
      </c>
      <c r="J819" s="8">
        <f t="shared" ca="1" si="114"/>
        <v>4500635.6999999993</v>
      </c>
      <c r="K819" s="6">
        <f t="shared" ca="1" si="115"/>
        <v>0.21999999999999997</v>
      </c>
      <c r="L819" s="4" t="str" cm="1">
        <f t="array" aca="1" ref="L819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19" s="8">
        <f t="shared" ca="1" si="116"/>
        <v>6906</v>
      </c>
      <c r="N819" s="4" t="str" cm="1">
        <f t="array" aca="1" ref="N819" ca="1">INDEX({"New";"Repeat"}, RANDBETWEEN(1,2))</f>
        <v>Repeat</v>
      </c>
      <c r="O819" s="4" t="str" cm="1">
        <f t="array" aca="1" ref="O819" ca="1">INDEX({"Loan";"Cash";"Lease"}, RANDBETWEEN(1,3))</f>
        <v>Cash</v>
      </c>
    </row>
    <row r="820" spans="1:15" x14ac:dyDescent="0.2">
      <c r="A820" s="4">
        <v>818</v>
      </c>
      <c r="B820" s="5">
        <f t="shared" ca="1" si="108"/>
        <v>45475</v>
      </c>
      <c r="C820" s="4" t="str" cm="1">
        <f t="array" aca="1" ref="C820" ca="1">INDEX({"Cochin";"Delhi";"Mumbai";"Pune";"Bengaluru"}, RANDBETWEEN(1,5))</f>
        <v>Mumbai</v>
      </c>
      <c r="D820" s="4" t="str" cm="1">
        <f t="array" aca="1" ref="D820" ca="1">INDEX({"C-Class";"E-Class";"S-Class";"GLA";"GLC";"GLE";"GLS";"EQB"}, RANDBETWEEN(1,8))</f>
        <v>E-Class</v>
      </c>
      <c r="E820" s="4" t="str">
        <f t="shared" ca="1" si="109"/>
        <v>Sedan</v>
      </c>
      <c r="F820" s="4">
        <f t="shared" ca="1" si="110"/>
        <v>2</v>
      </c>
      <c r="G820" s="8">
        <f t="shared" ca="1" si="111"/>
        <v>9373108</v>
      </c>
      <c r="H820" s="8">
        <f t="shared" ca="1" si="112"/>
        <v>18746216</v>
      </c>
      <c r="I820" s="8">
        <f t="shared" ca="1" si="113"/>
        <v>14434586.32</v>
      </c>
      <c r="J820" s="8">
        <f t="shared" ca="1" si="114"/>
        <v>4311629.68</v>
      </c>
      <c r="K820" s="6">
        <f t="shared" ca="1" si="115"/>
        <v>0.22999999999999998</v>
      </c>
      <c r="L820" s="4" t="str" cm="1">
        <f t="array" aca="1" ref="L82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20" s="8">
        <f t="shared" ca="1" si="116"/>
        <v>3942</v>
      </c>
      <c r="N820" s="4" t="str" cm="1">
        <f t="array" aca="1" ref="N820" ca="1">INDEX({"New";"Repeat"}, RANDBETWEEN(1,2))</f>
        <v>Repeat</v>
      </c>
      <c r="O820" s="4" t="str" cm="1">
        <f t="array" aca="1" ref="O820" ca="1">INDEX({"Loan";"Cash";"Lease"}, RANDBETWEEN(1,3))</f>
        <v>Lease</v>
      </c>
    </row>
    <row r="821" spans="1:15" x14ac:dyDescent="0.2">
      <c r="A821" s="4">
        <v>819</v>
      </c>
      <c r="B821" s="5">
        <f t="shared" ca="1" si="108"/>
        <v>45834</v>
      </c>
      <c r="C821" s="4" t="str" cm="1">
        <f t="array" aca="1" ref="C821" ca="1">INDEX({"Cochin";"Delhi";"Mumbai";"Pune";"Bengaluru"}, RANDBETWEEN(1,5))</f>
        <v>Mumbai</v>
      </c>
      <c r="D821" s="4" t="str" cm="1">
        <f t="array" aca="1" ref="D821" ca="1">INDEX({"C-Class";"E-Class";"S-Class";"GLA";"GLC";"GLE";"GLS";"EQB"}, RANDBETWEEN(1,8))</f>
        <v>S-Class</v>
      </c>
      <c r="E821" s="4" t="str">
        <f t="shared" ca="1" si="109"/>
        <v>Sedan</v>
      </c>
      <c r="F821" s="4">
        <f t="shared" ca="1" si="110"/>
        <v>2</v>
      </c>
      <c r="G821" s="8">
        <f t="shared" ca="1" si="111"/>
        <v>18267385</v>
      </c>
      <c r="H821" s="8">
        <f t="shared" ca="1" si="112"/>
        <v>36534770</v>
      </c>
      <c r="I821" s="8">
        <f t="shared" ca="1" si="113"/>
        <v>30323859.100000001</v>
      </c>
      <c r="J821" s="8">
        <f t="shared" ca="1" si="114"/>
        <v>6210910.8999999985</v>
      </c>
      <c r="K821" s="6">
        <f t="shared" ca="1" si="115"/>
        <v>0.16999999999999996</v>
      </c>
      <c r="L821" s="4" t="str" cm="1">
        <f t="array" aca="1" ref="L82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21" s="8">
        <f t="shared" ca="1" si="116"/>
        <v>18816</v>
      </c>
      <c r="N821" s="4" t="str" cm="1">
        <f t="array" aca="1" ref="N821" ca="1">INDEX({"New";"Repeat"}, RANDBETWEEN(1,2))</f>
        <v>New</v>
      </c>
      <c r="O821" s="4" t="str" cm="1">
        <f t="array" aca="1" ref="O821" ca="1">INDEX({"Loan";"Cash";"Lease"}, RANDBETWEEN(1,3))</f>
        <v>Lease</v>
      </c>
    </row>
    <row r="822" spans="1:15" x14ac:dyDescent="0.2">
      <c r="A822" s="4">
        <v>820</v>
      </c>
      <c r="B822" s="5">
        <f t="shared" ca="1" si="108"/>
        <v>45403</v>
      </c>
      <c r="C822" s="4" t="str" cm="1">
        <f t="array" aca="1" ref="C822" ca="1">INDEX({"Cochin";"Delhi";"Mumbai";"Pune";"Bengaluru"}, RANDBETWEEN(1,5))</f>
        <v>Mumbai</v>
      </c>
      <c r="D822" s="4" t="str" cm="1">
        <f t="array" aca="1" ref="D822" ca="1">INDEX({"C-Class";"E-Class";"S-Class";"GLA";"GLC";"GLE";"GLS";"EQB"}, RANDBETWEEN(1,8))</f>
        <v>EQB</v>
      </c>
      <c r="E822" s="4" t="str">
        <f t="shared" ca="1" si="109"/>
        <v>EV</v>
      </c>
      <c r="F822" s="4">
        <f t="shared" ca="1" si="110"/>
        <v>1</v>
      </c>
      <c r="G822" s="8">
        <f t="shared" ca="1" si="111"/>
        <v>7491859</v>
      </c>
      <c r="H822" s="8">
        <f t="shared" ca="1" si="112"/>
        <v>7491859</v>
      </c>
      <c r="I822" s="8">
        <f t="shared" ca="1" si="113"/>
        <v>5394138.4800000004</v>
      </c>
      <c r="J822" s="8">
        <f t="shared" ca="1" si="114"/>
        <v>2097720.5199999996</v>
      </c>
      <c r="K822" s="6">
        <f t="shared" ca="1" si="115"/>
        <v>0.27999999999999992</v>
      </c>
      <c r="L822" s="4" t="str" cm="1">
        <f t="array" aca="1" ref="L82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22" s="8">
        <f t="shared" ca="1" si="116"/>
        <v>7189</v>
      </c>
      <c r="N822" s="4" t="str" cm="1">
        <f t="array" aca="1" ref="N822" ca="1">INDEX({"New";"Repeat"}, RANDBETWEEN(1,2))</f>
        <v>Repeat</v>
      </c>
      <c r="O822" s="4" t="str" cm="1">
        <f t="array" aca="1" ref="O822" ca="1">INDEX({"Loan";"Cash";"Lease"}, RANDBETWEEN(1,3))</f>
        <v>Lease</v>
      </c>
    </row>
    <row r="823" spans="1:15" x14ac:dyDescent="0.2">
      <c r="A823" s="4">
        <v>821</v>
      </c>
      <c r="B823" s="5">
        <f t="shared" ca="1" si="108"/>
        <v>45166</v>
      </c>
      <c r="C823" s="4" t="str" cm="1">
        <f t="array" aca="1" ref="C823" ca="1">INDEX({"Cochin";"Delhi";"Mumbai";"Pune";"Bengaluru"}, RANDBETWEEN(1,5))</f>
        <v>Mumbai</v>
      </c>
      <c r="D823" s="4" t="str" cm="1">
        <f t="array" aca="1" ref="D823" ca="1">INDEX({"C-Class";"E-Class";"S-Class";"GLA";"GLC";"GLE";"GLS";"EQB"}, RANDBETWEEN(1,8))</f>
        <v>E-Class</v>
      </c>
      <c r="E823" s="4" t="str">
        <f t="shared" ca="1" si="109"/>
        <v>Sedan</v>
      </c>
      <c r="F823" s="4">
        <f t="shared" ca="1" si="110"/>
        <v>1</v>
      </c>
      <c r="G823" s="8">
        <f t="shared" ca="1" si="111"/>
        <v>9294626</v>
      </c>
      <c r="H823" s="8">
        <f t="shared" ca="1" si="112"/>
        <v>9294626</v>
      </c>
      <c r="I823" s="8">
        <f t="shared" ca="1" si="113"/>
        <v>6785076.9800000004</v>
      </c>
      <c r="J823" s="8">
        <f t="shared" ca="1" si="114"/>
        <v>2509549.0199999996</v>
      </c>
      <c r="K823" s="6">
        <f t="shared" ca="1" si="115"/>
        <v>0.26999999999999996</v>
      </c>
      <c r="L823" s="4" t="str" cm="1">
        <f t="array" aca="1" ref="L823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23" s="8">
        <f t="shared" ca="1" si="116"/>
        <v>6200</v>
      </c>
      <c r="N823" s="4" t="str" cm="1">
        <f t="array" aca="1" ref="N823" ca="1">INDEX({"New";"Repeat"}, RANDBETWEEN(1,2))</f>
        <v>Repeat</v>
      </c>
      <c r="O823" s="4" t="str" cm="1">
        <f t="array" aca="1" ref="O823" ca="1">INDEX({"Loan";"Cash";"Lease"}, RANDBETWEEN(1,3))</f>
        <v>Lease</v>
      </c>
    </row>
    <row r="824" spans="1:15" x14ac:dyDescent="0.2">
      <c r="A824" s="4">
        <v>822</v>
      </c>
      <c r="B824" s="5">
        <f t="shared" ca="1" si="108"/>
        <v>45647</v>
      </c>
      <c r="C824" s="4" t="str" cm="1">
        <f t="array" aca="1" ref="C824" ca="1">INDEX({"Cochin";"Delhi";"Mumbai";"Pune";"Bengaluru"}, RANDBETWEEN(1,5))</f>
        <v>Mumbai</v>
      </c>
      <c r="D824" s="4" t="str" cm="1">
        <f t="array" aca="1" ref="D824" ca="1">INDEX({"C-Class";"E-Class";"S-Class";"GLA";"GLC";"GLE";"GLS";"EQB"}, RANDBETWEEN(1,8))</f>
        <v>GLC</v>
      </c>
      <c r="E824" s="4" t="str">
        <f t="shared" ca="1" si="109"/>
        <v>SUV</v>
      </c>
      <c r="F824" s="4">
        <f t="shared" ca="1" si="110"/>
        <v>2</v>
      </c>
      <c r="G824" s="8">
        <f t="shared" ca="1" si="111"/>
        <v>7171214</v>
      </c>
      <c r="H824" s="8">
        <f t="shared" ca="1" si="112"/>
        <v>14342428</v>
      </c>
      <c r="I824" s="8">
        <f t="shared" ca="1" si="113"/>
        <v>10039699.6</v>
      </c>
      <c r="J824" s="8">
        <f t="shared" ca="1" si="114"/>
        <v>4302728.4000000004</v>
      </c>
      <c r="K824" s="6">
        <f t="shared" ca="1" si="115"/>
        <v>0.30000000000000004</v>
      </c>
      <c r="L824" s="4" t="str" cm="1">
        <f t="array" aca="1" ref="L824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24" s="8">
        <f t="shared" ca="1" si="116"/>
        <v>4128</v>
      </c>
      <c r="N824" s="4" t="str" cm="1">
        <f t="array" aca="1" ref="N824" ca="1">INDEX({"New";"Repeat"}, RANDBETWEEN(1,2))</f>
        <v>Repeat</v>
      </c>
      <c r="O824" s="4" t="str" cm="1">
        <f t="array" aca="1" ref="O824" ca="1">INDEX({"Loan";"Cash";"Lease"}, RANDBETWEEN(1,3))</f>
        <v>Loan</v>
      </c>
    </row>
    <row r="825" spans="1:15" x14ac:dyDescent="0.2">
      <c r="A825" s="4">
        <v>823</v>
      </c>
      <c r="B825" s="5">
        <f t="shared" ca="1" si="108"/>
        <v>45186</v>
      </c>
      <c r="C825" s="4" t="str" cm="1">
        <f t="array" aca="1" ref="C825" ca="1">INDEX({"Cochin";"Delhi";"Mumbai";"Pune";"Bengaluru"}, RANDBETWEEN(1,5))</f>
        <v>Pune</v>
      </c>
      <c r="D825" s="4" t="str" cm="1">
        <f t="array" aca="1" ref="D825" ca="1">INDEX({"C-Class";"E-Class";"S-Class";"GLA";"GLC";"GLE";"GLS";"EQB"}, RANDBETWEEN(1,8))</f>
        <v>GLC</v>
      </c>
      <c r="E825" s="4" t="str">
        <f t="shared" ca="1" si="109"/>
        <v>SUV</v>
      </c>
      <c r="F825" s="4">
        <f t="shared" ca="1" si="110"/>
        <v>5</v>
      </c>
      <c r="G825" s="8">
        <f t="shared" ca="1" si="111"/>
        <v>7154246</v>
      </c>
      <c r="H825" s="8">
        <f t="shared" ca="1" si="112"/>
        <v>35771230</v>
      </c>
      <c r="I825" s="8">
        <f t="shared" ca="1" si="113"/>
        <v>28259271.699999999</v>
      </c>
      <c r="J825" s="8">
        <f t="shared" ca="1" si="114"/>
        <v>7511958.3000000007</v>
      </c>
      <c r="K825" s="6">
        <f t="shared" ca="1" si="115"/>
        <v>0.21000000000000002</v>
      </c>
      <c r="L825" s="4" t="str" cm="1">
        <f t="array" aca="1" ref="L825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25" s="8">
        <f t="shared" ca="1" si="116"/>
        <v>12974</v>
      </c>
      <c r="N825" s="4" t="str" cm="1">
        <f t="array" aca="1" ref="N825" ca="1">INDEX({"New";"Repeat"}, RANDBETWEEN(1,2))</f>
        <v>New</v>
      </c>
      <c r="O825" s="4" t="str" cm="1">
        <f t="array" aca="1" ref="O825" ca="1">INDEX({"Loan";"Cash";"Lease"}, RANDBETWEEN(1,3))</f>
        <v>Lease</v>
      </c>
    </row>
    <row r="826" spans="1:15" x14ac:dyDescent="0.2">
      <c r="A826" s="4">
        <v>824</v>
      </c>
      <c r="B826" s="5">
        <f t="shared" ca="1" si="108"/>
        <v>45516</v>
      </c>
      <c r="C826" s="4" t="str" cm="1">
        <f t="array" aca="1" ref="C826" ca="1">INDEX({"Cochin";"Delhi";"Mumbai";"Pune";"Bengaluru"}, RANDBETWEEN(1,5))</f>
        <v>Cochin</v>
      </c>
      <c r="D826" s="4" t="str" cm="1">
        <f t="array" aca="1" ref="D826" ca="1">INDEX({"C-Class";"E-Class";"S-Class";"GLA";"GLC";"GLE";"GLS";"EQB"}, RANDBETWEEN(1,8))</f>
        <v>C-Class</v>
      </c>
      <c r="E826" s="4" t="str">
        <f t="shared" ca="1" si="109"/>
        <v>Sedan</v>
      </c>
      <c r="F826" s="4">
        <f t="shared" ca="1" si="110"/>
        <v>5</v>
      </c>
      <c r="G826" s="8">
        <f t="shared" ca="1" si="111"/>
        <v>6587217</v>
      </c>
      <c r="H826" s="8">
        <f t="shared" ca="1" si="112"/>
        <v>32936085</v>
      </c>
      <c r="I826" s="8">
        <f t="shared" ca="1" si="113"/>
        <v>26019507.149999999</v>
      </c>
      <c r="J826" s="8">
        <f t="shared" ca="1" si="114"/>
        <v>6916577.8500000015</v>
      </c>
      <c r="K826" s="6">
        <f t="shared" ca="1" si="115"/>
        <v>0.21000000000000005</v>
      </c>
      <c r="L826" s="4" t="str" cm="1">
        <f t="array" aca="1" ref="L826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26" s="8">
        <f t="shared" ca="1" si="116"/>
        <v>6723</v>
      </c>
      <c r="N826" s="4" t="str" cm="1">
        <f t="array" aca="1" ref="N826" ca="1">INDEX({"New";"Repeat"}, RANDBETWEEN(1,2))</f>
        <v>Repeat</v>
      </c>
      <c r="O826" s="4" t="str" cm="1">
        <f t="array" aca="1" ref="O826" ca="1">INDEX({"Loan";"Cash";"Lease"}, RANDBETWEEN(1,3))</f>
        <v>Loan</v>
      </c>
    </row>
    <row r="827" spans="1:15" x14ac:dyDescent="0.2">
      <c r="A827" s="4">
        <v>825</v>
      </c>
      <c r="B827" s="5">
        <f t="shared" ca="1" si="108"/>
        <v>45081</v>
      </c>
      <c r="C827" s="4" t="str" cm="1">
        <f t="array" aca="1" ref="C827" ca="1">INDEX({"Cochin";"Delhi";"Mumbai";"Pune";"Bengaluru"}, RANDBETWEEN(1,5))</f>
        <v>Pune</v>
      </c>
      <c r="D827" s="4" t="str" cm="1">
        <f t="array" aca="1" ref="D827" ca="1">INDEX({"C-Class";"E-Class";"S-Class";"GLA";"GLC";"GLE";"GLS";"EQB"}, RANDBETWEEN(1,8))</f>
        <v>C-Class</v>
      </c>
      <c r="E827" s="4" t="str">
        <f t="shared" ca="1" si="109"/>
        <v>Sedan</v>
      </c>
      <c r="F827" s="4">
        <f t="shared" ca="1" si="110"/>
        <v>1</v>
      </c>
      <c r="G827" s="8">
        <f t="shared" ca="1" si="111"/>
        <v>6952733</v>
      </c>
      <c r="H827" s="8">
        <f t="shared" ca="1" si="112"/>
        <v>6952733</v>
      </c>
      <c r="I827" s="8">
        <f t="shared" ca="1" si="113"/>
        <v>5492659.0700000003</v>
      </c>
      <c r="J827" s="8">
        <f t="shared" ca="1" si="114"/>
        <v>1460073.9299999997</v>
      </c>
      <c r="K827" s="6">
        <f t="shared" ca="1" si="115"/>
        <v>0.20999999999999996</v>
      </c>
      <c r="L827" s="4" t="str" cm="1">
        <f t="array" aca="1" ref="L827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27" s="8">
        <f t="shared" ca="1" si="116"/>
        <v>13196</v>
      </c>
      <c r="N827" s="4" t="str" cm="1">
        <f t="array" aca="1" ref="N827" ca="1">INDEX({"New";"Repeat"}, RANDBETWEEN(1,2))</f>
        <v>New</v>
      </c>
      <c r="O827" s="4" t="str" cm="1">
        <f t="array" aca="1" ref="O827" ca="1">INDEX({"Loan";"Cash";"Lease"}, RANDBETWEEN(1,3))</f>
        <v>Lease</v>
      </c>
    </row>
    <row r="828" spans="1:15" x14ac:dyDescent="0.2">
      <c r="A828" s="4">
        <v>826</v>
      </c>
      <c r="B828" s="5">
        <f t="shared" ca="1" si="108"/>
        <v>45123</v>
      </c>
      <c r="C828" s="4" t="str" cm="1">
        <f t="array" aca="1" ref="C828" ca="1">INDEX({"Cochin";"Delhi";"Mumbai";"Pune";"Bengaluru"}, RANDBETWEEN(1,5))</f>
        <v>Pune</v>
      </c>
      <c r="D828" s="4" t="str" cm="1">
        <f t="array" aca="1" ref="D828" ca="1">INDEX({"C-Class";"E-Class";"S-Class";"GLA";"GLC";"GLE";"GLS";"EQB"}, RANDBETWEEN(1,8))</f>
        <v>C-Class</v>
      </c>
      <c r="E828" s="4" t="str">
        <f t="shared" ca="1" si="109"/>
        <v>Sedan</v>
      </c>
      <c r="F828" s="4">
        <f t="shared" ca="1" si="110"/>
        <v>5</v>
      </c>
      <c r="G828" s="8">
        <f t="shared" ca="1" si="111"/>
        <v>6773734</v>
      </c>
      <c r="H828" s="8">
        <f t="shared" ca="1" si="112"/>
        <v>33868670</v>
      </c>
      <c r="I828" s="8">
        <f t="shared" ca="1" si="113"/>
        <v>26078875.899999999</v>
      </c>
      <c r="J828" s="8">
        <f t="shared" ca="1" si="114"/>
        <v>7789794.1000000015</v>
      </c>
      <c r="K828" s="6">
        <f t="shared" ca="1" si="115"/>
        <v>0.23000000000000004</v>
      </c>
      <c r="L828" s="4" t="str" cm="1">
        <f t="array" aca="1" ref="L82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28" s="8">
        <f t="shared" ca="1" si="116"/>
        <v>22371</v>
      </c>
      <c r="N828" s="4" t="str" cm="1">
        <f t="array" aca="1" ref="N828" ca="1">INDEX({"New";"Repeat"}, RANDBETWEEN(1,2))</f>
        <v>New</v>
      </c>
      <c r="O828" s="4" t="str" cm="1">
        <f t="array" aca="1" ref="O828" ca="1">INDEX({"Loan";"Cash";"Lease"}, RANDBETWEEN(1,3))</f>
        <v>Lease</v>
      </c>
    </row>
    <row r="829" spans="1:15" x14ac:dyDescent="0.2">
      <c r="A829" s="4">
        <v>827</v>
      </c>
      <c r="B829" s="5">
        <f t="shared" ca="1" si="108"/>
        <v>45701</v>
      </c>
      <c r="C829" s="4" t="str" cm="1">
        <f t="array" aca="1" ref="C829" ca="1">INDEX({"Cochin";"Delhi";"Mumbai";"Pune";"Bengaluru"}, RANDBETWEEN(1,5))</f>
        <v>Mumbai</v>
      </c>
      <c r="D829" s="4" t="str" cm="1">
        <f t="array" aca="1" ref="D829" ca="1">INDEX({"C-Class";"E-Class";"S-Class";"GLA";"GLC";"GLE";"GLS";"EQB"}, RANDBETWEEN(1,8))</f>
        <v>C-Class</v>
      </c>
      <c r="E829" s="4" t="str">
        <f t="shared" ca="1" si="109"/>
        <v>Sedan</v>
      </c>
      <c r="F829" s="4">
        <f t="shared" ca="1" si="110"/>
        <v>2</v>
      </c>
      <c r="G829" s="8">
        <f t="shared" ca="1" si="111"/>
        <v>5523553</v>
      </c>
      <c r="H829" s="8">
        <f t="shared" ca="1" si="112"/>
        <v>11047106</v>
      </c>
      <c r="I829" s="8">
        <f t="shared" ca="1" si="113"/>
        <v>7953916.3200000003</v>
      </c>
      <c r="J829" s="8">
        <f t="shared" ca="1" si="114"/>
        <v>3093189.6799999997</v>
      </c>
      <c r="K829" s="6">
        <f t="shared" ca="1" si="115"/>
        <v>0.27999999999999997</v>
      </c>
      <c r="L829" s="4" t="str" cm="1">
        <f t="array" aca="1" ref="L829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29" s="8">
        <f t="shared" ca="1" si="116"/>
        <v>4768</v>
      </c>
      <c r="N829" s="4" t="str" cm="1">
        <f t="array" aca="1" ref="N829" ca="1">INDEX({"New";"Repeat"}, RANDBETWEEN(1,2))</f>
        <v>Repeat</v>
      </c>
      <c r="O829" s="4" t="str" cm="1">
        <f t="array" aca="1" ref="O829" ca="1">INDEX({"Loan";"Cash";"Lease"}, RANDBETWEEN(1,3))</f>
        <v>Lease</v>
      </c>
    </row>
    <row r="830" spans="1:15" x14ac:dyDescent="0.2">
      <c r="A830" s="4">
        <v>828</v>
      </c>
      <c r="B830" s="5">
        <f t="shared" ca="1" si="108"/>
        <v>45874</v>
      </c>
      <c r="C830" s="4" t="str" cm="1">
        <f t="array" aca="1" ref="C830" ca="1">INDEX({"Cochin";"Delhi";"Mumbai";"Pune";"Bengaluru"}, RANDBETWEEN(1,5))</f>
        <v>Mumbai</v>
      </c>
      <c r="D830" s="4" t="str" cm="1">
        <f t="array" aca="1" ref="D830" ca="1">INDEX({"C-Class";"E-Class";"S-Class";"GLA";"GLC";"GLE";"GLS";"EQB"}, RANDBETWEEN(1,8))</f>
        <v>GLS</v>
      </c>
      <c r="E830" s="4" t="str">
        <f t="shared" ca="1" si="109"/>
        <v>SUV</v>
      </c>
      <c r="F830" s="4">
        <f t="shared" ca="1" si="110"/>
        <v>1</v>
      </c>
      <c r="G830" s="8">
        <f t="shared" ca="1" si="111"/>
        <v>14475530</v>
      </c>
      <c r="H830" s="8">
        <f t="shared" ca="1" si="112"/>
        <v>14475530</v>
      </c>
      <c r="I830" s="8">
        <f t="shared" ca="1" si="113"/>
        <v>10711892.199999999</v>
      </c>
      <c r="J830" s="8">
        <f t="shared" ca="1" si="114"/>
        <v>3763637.8000000007</v>
      </c>
      <c r="K830" s="6">
        <f t="shared" ca="1" si="115"/>
        <v>0.26000000000000006</v>
      </c>
      <c r="L830" s="4" t="str" cm="1">
        <f t="array" aca="1" ref="L830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30" s="8">
        <f t="shared" ca="1" si="116"/>
        <v>7406</v>
      </c>
      <c r="N830" s="4" t="str" cm="1">
        <f t="array" aca="1" ref="N830" ca="1">INDEX({"New";"Repeat"}, RANDBETWEEN(1,2))</f>
        <v>Repeat</v>
      </c>
      <c r="O830" s="4" t="str" cm="1">
        <f t="array" aca="1" ref="O830" ca="1">INDEX({"Loan";"Cash";"Lease"}, RANDBETWEEN(1,3))</f>
        <v>Cash</v>
      </c>
    </row>
    <row r="831" spans="1:15" x14ac:dyDescent="0.2">
      <c r="A831" s="4">
        <v>829</v>
      </c>
      <c r="B831" s="5">
        <f t="shared" ca="1" si="108"/>
        <v>45191</v>
      </c>
      <c r="C831" s="4" t="str" cm="1">
        <f t="array" aca="1" ref="C831" ca="1">INDEX({"Cochin";"Delhi";"Mumbai";"Pune";"Bengaluru"}, RANDBETWEEN(1,5))</f>
        <v>Cochin</v>
      </c>
      <c r="D831" s="4" t="str" cm="1">
        <f t="array" aca="1" ref="D831" ca="1">INDEX({"C-Class";"E-Class";"S-Class";"GLA";"GLC";"GLE";"GLS";"EQB"}, RANDBETWEEN(1,8))</f>
        <v>S-Class</v>
      </c>
      <c r="E831" s="4" t="str">
        <f t="shared" ca="1" si="109"/>
        <v>Sedan</v>
      </c>
      <c r="F831" s="4">
        <f t="shared" ca="1" si="110"/>
        <v>2</v>
      </c>
      <c r="G831" s="8">
        <f t="shared" ca="1" si="111"/>
        <v>21510242</v>
      </c>
      <c r="H831" s="8">
        <f t="shared" ca="1" si="112"/>
        <v>43020484</v>
      </c>
      <c r="I831" s="8">
        <f t="shared" ca="1" si="113"/>
        <v>36137206.560000002</v>
      </c>
      <c r="J831" s="8">
        <f t="shared" ca="1" si="114"/>
        <v>6883277.4399999976</v>
      </c>
      <c r="K831" s="6">
        <f t="shared" ca="1" si="115"/>
        <v>0.15999999999999995</v>
      </c>
      <c r="L831" s="4" t="str" cm="1">
        <f t="array" aca="1" ref="L831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831" s="8">
        <f t="shared" ca="1" si="116"/>
        <v>3547</v>
      </c>
      <c r="N831" s="4" t="str" cm="1">
        <f t="array" aca="1" ref="N831" ca="1">INDEX({"New";"Repeat"}, RANDBETWEEN(1,2))</f>
        <v>Repeat</v>
      </c>
      <c r="O831" s="4" t="str" cm="1">
        <f t="array" aca="1" ref="O831" ca="1">INDEX({"Loan";"Cash";"Lease"}, RANDBETWEEN(1,3))</f>
        <v>Loan</v>
      </c>
    </row>
    <row r="832" spans="1:15" x14ac:dyDescent="0.2">
      <c r="A832" s="4">
        <v>830</v>
      </c>
      <c r="B832" s="5">
        <f t="shared" ca="1" si="108"/>
        <v>45509</v>
      </c>
      <c r="C832" s="4" t="str" cm="1">
        <f t="array" aca="1" ref="C832" ca="1">INDEX({"Cochin";"Delhi";"Mumbai";"Pune";"Bengaluru"}, RANDBETWEEN(1,5))</f>
        <v>Mumbai</v>
      </c>
      <c r="D832" s="4" t="str" cm="1">
        <f t="array" aca="1" ref="D832" ca="1">INDEX({"C-Class";"E-Class";"S-Class";"GLA";"GLC";"GLE";"GLS";"EQB"}, RANDBETWEEN(1,8))</f>
        <v>GLE</v>
      </c>
      <c r="E832" s="4" t="str">
        <f t="shared" ca="1" si="109"/>
        <v>SUV</v>
      </c>
      <c r="F832" s="4">
        <f t="shared" ca="1" si="110"/>
        <v>3</v>
      </c>
      <c r="G832" s="8">
        <f t="shared" ca="1" si="111"/>
        <v>12980028</v>
      </c>
      <c r="H832" s="8">
        <f t="shared" ca="1" si="112"/>
        <v>38940084</v>
      </c>
      <c r="I832" s="8">
        <f t="shared" ca="1" si="113"/>
        <v>30373265.52</v>
      </c>
      <c r="J832" s="8">
        <f t="shared" ca="1" si="114"/>
        <v>8566818.4800000004</v>
      </c>
      <c r="K832" s="6">
        <f t="shared" ca="1" si="115"/>
        <v>0.22</v>
      </c>
      <c r="L832" s="4" t="str" cm="1">
        <f t="array" aca="1" ref="L83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832" s="8">
        <f t="shared" ca="1" si="116"/>
        <v>6145</v>
      </c>
      <c r="N832" s="4" t="str" cm="1">
        <f t="array" aca="1" ref="N832" ca="1">INDEX({"New";"Repeat"}, RANDBETWEEN(1,2))</f>
        <v>Repeat</v>
      </c>
      <c r="O832" s="4" t="str" cm="1">
        <f t="array" aca="1" ref="O832" ca="1">INDEX({"Loan";"Cash";"Lease"}, RANDBETWEEN(1,3))</f>
        <v>Lease</v>
      </c>
    </row>
    <row r="833" spans="1:15" x14ac:dyDescent="0.2">
      <c r="A833" s="4">
        <v>831</v>
      </c>
      <c r="B833" s="5">
        <f t="shared" ca="1" si="108"/>
        <v>45725</v>
      </c>
      <c r="C833" s="4" t="str" cm="1">
        <f t="array" aca="1" ref="C833" ca="1">INDEX({"Cochin";"Delhi";"Mumbai";"Pune";"Bengaluru"}, RANDBETWEEN(1,5))</f>
        <v>Delhi</v>
      </c>
      <c r="D833" s="4" t="str" cm="1">
        <f t="array" aca="1" ref="D833" ca="1">INDEX({"C-Class";"E-Class";"S-Class";"GLA";"GLC";"GLE";"GLS";"EQB"}, RANDBETWEEN(1,8))</f>
        <v>EQB</v>
      </c>
      <c r="E833" s="4" t="str">
        <f t="shared" ca="1" si="109"/>
        <v>EV</v>
      </c>
      <c r="F833" s="4">
        <f t="shared" ca="1" si="110"/>
        <v>3</v>
      </c>
      <c r="G833" s="8">
        <f t="shared" ca="1" si="111"/>
        <v>7080784</v>
      </c>
      <c r="H833" s="8">
        <f t="shared" ca="1" si="112"/>
        <v>21242352</v>
      </c>
      <c r="I833" s="8">
        <f t="shared" ca="1" si="113"/>
        <v>15719340.48</v>
      </c>
      <c r="J833" s="8">
        <f t="shared" ca="1" si="114"/>
        <v>5523011.5199999996</v>
      </c>
      <c r="K833" s="6">
        <f t="shared" ca="1" si="115"/>
        <v>0.25999999999999995</v>
      </c>
      <c r="L833" s="4" t="str" cm="1">
        <f t="array" aca="1" ref="L833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33" s="8">
        <f t="shared" ca="1" si="116"/>
        <v>6948</v>
      </c>
      <c r="N833" s="4" t="str" cm="1">
        <f t="array" aca="1" ref="N833" ca="1">INDEX({"New";"Repeat"}, RANDBETWEEN(1,2))</f>
        <v>Repeat</v>
      </c>
      <c r="O833" s="4" t="str" cm="1">
        <f t="array" aca="1" ref="O833" ca="1">INDEX({"Loan";"Cash";"Lease"}, RANDBETWEEN(1,3))</f>
        <v>Cash</v>
      </c>
    </row>
    <row r="834" spans="1:15" x14ac:dyDescent="0.2">
      <c r="A834" s="4">
        <v>832</v>
      </c>
      <c r="B834" s="5">
        <f t="shared" ca="1" si="108"/>
        <v>45808</v>
      </c>
      <c r="C834" s="4" t="str" cm="1">
        <f t="array" aca="1" ref="C834" ca="1">INDEX({"Cochin";"Delhi";"Mumbai";"Pune";"Bengaluru"}, RANDBETWEEN(1,5))</f>
        <v>Bengaluru</v>
      </c>
      <c r="D834" s="4" t="str" cm="1">
        <f t="array" aca="1" ref="D834" ca="1">INDEX({"C-Class";"E-Class";"S-Class";"GLA";"GLC";"GLE";"GLS";"EQB"}, RANDBETWEEN(1,8))</f>
        <v>GLA</v>
      </c>
      <c r="E834" s="4" t="str">
        <f t="shared" ca="1" si="109"/>
        <v>SUV</v>
      </c>
      <c r="F834" s="4">
        <f t="shared" ca="1" si="110"/>
        <v>2</v>
      </c>
      <c r="G834" s="8">
        <f t="shared" ca="1" si="111"/>
        <v>4578813</v>
      </c>
      <c r="H834" s="8">
        <f t="shared" ca="1" si="112"/>
        <v>9157626</v>
      </c>
      <c r="I834" s="8">
        <f t="shared" ca="1" si="113"/>
        <v>7326100.7999999998</v>
      </c>
      <c r="J834" s="8">
        <f t="shared" ca="1" si="114"/>
        <v>1831525.2000000002</v>
      </c>
      <c r="K834" s="6">
        <f t="shared" ca="1" si="115"/>
        <v>0.2</v>
      </c>
      <c r="L834" s="4" t="str" cm="1">
        <f t="array" aca="1" ref="L834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34" s="8">
        <f t="shared" ca="1" si="116"/>
        <v>5513</v>
      </c>
      <c r="N834" s="4" t="str" cm="1">
        <f t="array" aca="1" ref="N834" ca="1">INDEX({"New";"Repeat"}, RANDBETWEEN(1,2))</f>
        <v>Repeat</v>
      </c>
      <c r="O834" s="4" t="str" cm="1">
        <f t="array" aca="1" ref="O834" ca="1">INDEX({"Loan";"Cash";"Lease"}, RANDBETWEEN(1,3))</f>
        <v>Cash</v>
      </c>
    </row>
    <row r="835" spans="1:15" x14ac:dyDescent="0.2">
      <c r="A835" s="4">
        <v>833</v>
      </c>
      <c r="B835" s="5">
        <f t="shared" ca="1" si="108"/>
        <v>45019</v>
      </c>
      <c r="C835" s="4" t="str" cm="1">
        <f t="array" aca="1" ref="C835" ca="1">INDEX({"Cochin";"Delhi";"Mumbai";"Pune";"Bengaluru"}, RANDBETWEEN(1,5))</f>
        <v>Mumbai</v>
      </c>
      <c r="D835" s="4" t="str" cm="1">
        <f t="array" aca="1" ref="D835" ca="1">INDEX({"C-Class";"E-Class";"S-Class";"GLA";"GLC";"GLE";"GLS";"EQB"}, RANDBETWEEN(1,8))</f>
        <v>EQB</v>
      </c>
      <c r="E835" s="4" t="str">
        <f t="shared" ca="1" si="109"/>
        <v>EV</v>
      </c>
      <c r="F835" s="4">
        <f t="shared" ca="1" si="110"/>
        <v>3</v>
      </c>
      <c r="G835" s="8">
        <f t="shared" ca="1" si="111"/>
        <v>7117084</v>
      </c>
      <c r="H835" s="8">
        <f t="shared" ca="1" si="112"/>
        <v>21351252</v>
      </c>
      <c r="I835" s="8">
        <f t="shared" ca="1" si="113"/>
        <v>17508026.640000001</v>
      </c>
      <c r="J835" s="8">
        <f t="shared" ca="1" si="114"/>
        <v>3843225.3599999994</v>
      </c>
      <c r="K835" s="6">
        <f t="shared" ca="1" si="115"/>
        <v>0.17999999999999997</v>
      </c>
      <c r="L835" s="4" t="str" cm="1">
        <f t="array" aca="1" ref="L835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35" s="8">
        <f t="shared" ca="1" si="116"/>
        <v>6453</v>
      </c>
      <c r="N835" s="4" t="str" cm="1">
        <f t="array" aca="1" ref="N835" ca="1">INDEX({"New";"Repeat"}, RANDBETWEEN(1,2))</f>
        <v>Repeat</v>
      </c>
      <c r="O835" s="4" t="str" cm="1">
        <f t="array" aca="1" ref="O835" ca="1">INDEX({"Loan";"Cash";"Lease"}, RANDBETWEEN(1,3))</f>
        <v>Cash</v>
      </c>
    </row>
    <row r="836" spans="1:15" x14ac:dyDescent="0.2">
      <c r="A836" s="4">
        <v>834</v>
      </c>
      <c r="B836" s="5">
        <f t="shared" ref="B836:B899" ca="1" si="117">RANDBETWEEN(DATE(2023,1,1),DATE(2025,9,1))</f>
        <v>45241</v>
      </c>
      <c r="C836" s="4" t="str" cm="1">
        <f t="array" aca="1" ref="C836" ca="1">INDEX({"Cochin";"Delhi";"Mumbai";"Pune";"Bengaluru"}, RANDBETWEEN(1,5))</f>
        <v>Pune</v>
      </c>
      <c r="D836" s="4" t="str" cm="1">
        <f t="array" aca="1" ref="D836" ca="1">INDEX({"C-Class";"E-Class";"S-Class";"GLA";"GLC";"GLE";"GLS";"EQB"}, RANDBETWEEN(1,8))</f>
        <v>GLA</v>
      </c>
      <c r="E836" s="4" t="str">
        <f t="shared" ref="E836:E899" ca="1" si="118">IF(D836="EQB","EV", IF(OR(D836="GLA",D836="GLC",D836="GLE",D836="GLS"),"SUV","Sedan"))</f>
        <v>SUV</v>
      </c>
      <c r="F836" s="4">
        <f t="shared" ref="F836:F899" ca="1" si="119">RANDBETWEEN(1,5)</f>
        <v>3</v>
      </c>
      <c r="G836" s="8">
        <f t="shared" ref="G836:G899" ca="1" si="120">IF(D836="C-Class",RANDBETWEEN(5500000,7000000),
IF(D836="E-Class",RANDBETWEEN(7500000,9500000),
IF(D836="S-Class",RANDBETWEEN(15000000,25000000),
IF(D836="GLA",RANDBETWEEN(4500000,5500000),
IF(D836="GLC",RANDBETWEEN(6500000,7500000),
IF(D836="GLE",RANDBETWEEN(9000000,13000000),
IF(D836="GLS",RANDBETWEEN(13000000,18000000),
IF(D836="EQB",RANDBETWEEN(7000000,8000000)))))))))</f>
        <v>5035844</v>
      </c>
      <c r="H836" s="8">
        <f t="shared" ref="H836:H899" ca="1" si="121">F836*G836</f>
        <v>15107532</v>
      </c>
      <c r="I836" s="8">
        <f t="shared" ref="I836:I899" ca="1" si="122">G836 *F836* RANDBETWEEN(70,85) / 100</f>
        <v>12086025.6</v>
      </c>
      <c r="J836" s="8">
        <f t="shared" ref="J836:J899" ca="1" si="123">H836 -I836</f>
        <v>3021506.4000000004</v>
      </c>
      <c r="K836" s="6">
        <f t="shared" ref="K836:K899" ca="1" si="124">J836/H836</f>
        <v>0.2</v>
      </c>
      <c r="L836" s="4" t="str" cm="1">
        <f t="array" aca="1" ref="L836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36" s="8">
        <f t="shared" ref="M836:M899" ca="1" si="125">IF(N836="New", RANDBETWEEN(10000,25000), RANDBETWEEN(3000,8000))</f>
        <v>6055</v>
      </c>
      <c r="N836" s="4" t="str" cm="1">
        <f t="array" aca="1" ref="N836" ca="1">INDEX({"New";"Repeat"}, RANDBETWEEN(1,2))</f>
        <v>Repeat</v>
      </c>
      <c r="O836" s="4" t="str" cm="1">
        <f t="array" aca="1" ref="O836" ca="1">INDEX({"Loan";"Cash";"Lease"}, RANDBETWEEN(1,3))</f>
        <v>Lease</v>
      </c>
    </row>
    <row r="837" spans="1:15" x14ac:dyDescent="0.2">
      <c r="A837" s="4">
        <v>835</v>
      </c>
      <c r="B837" s="5">
        <f t="shared" ca="1" si="117"/>
        <v>45162</v>
      </c>
      <c r="C837" s="4" t="str" cm="1">
        <f t="array" aca="1" ref="C837" ca="1">INDEX({"Cochin";"Delhi";"Mumbai";"Pune";"Bengaluru"}, RANDBETWEEN(1,5))</f>
        <v>Delhi</v>
      </c>
      <c r="D837" s="4" t="str" cm="1">
        <f t="array" aca="1" ref="D837" ca="1">INDEX({"C-Class";"E-Class";"S-Class";"GLA";"GLC";"GLE";"GLS";"EQB"}, RANDBETWEEN(1,8))</f>
        <v>GLE</v>
      </c>
      <c r="E837" s="4" t="str">
        <f t="shared" ca="1" si="118"/>
        <v>SUV</v>
      </c>
      <c r="F837" s="4">
        <f t="shared" ca="1" si="119"/>
        <v>4</v>
      </c>
      <c r="G837" s="8">
        <f t="shared" ca="1" si="120"/>
        <v>12305693</v>
      </c>
      <c r="H837" s="8">
        <f t="shared" ca="1" si="121"/>
        <v>49222772</v>
      </c>
      <c r="I837" s="8">
        <f t="shared" ca="1" si="122"/>
        <v>36917079</v>
      </c>
      <c r="J837" s="8">
        <f t="shared" ca="1" si="123"/>
        <v>12305693</v>
      </c>
      <c r="K837" s="6">
        <f t="shared" ca="1" si="124"/>
        <v>0.25</v>
      </c>
      <c r="L837" s="4" t="str" cm="1">
        <f t="array" aca="1" ref="L837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37" s="8">
        <f t="shared" ca="1" si="125"/>
        <v>23111</v>
      </c>
      <c r="N837" s="4" t="str" cm="1">
        <f t="array" aca="1" ref="N837" ca="1">INDEX({"New";"Repeat"}, RANDBETWEEN(1,2))</f>
        <v>New</v>
      </c>
      <c r="O837" s="4" t="str" cm="1">
        <f t="array" aca="1" ref="O837" ca="1">INDEX({"Loan";"Cash";"Lease"}, RANDBETWEEN(1,3))</f>
        <v>Loan</v>
      </c>
    </row>
    <row r="838" spans="1:15" x14ac:dyDescent="0.2">
      <c r="A838" s="4">
        <v>836</v>
      </c>
      <c r="B838" s="5">
        <f t="shared" ca="1" si="117"/>
        <v>45006</v>
      </c>
      <c r="C838" s="4" t="str" cm="1">
        <f t="array" aca="1" ref="C838" ca="1">INDEX({"Cochin";"Delhi";"Mumbai";"Pune";"Bengaluru"}, RANDBETWEEN(1,5))</f>
        <v>Delhi</v>
      </c>
      <c r="D838" s="4" t="str" cm="1">
        <f t="array" aca="1" ref="D838" ca="1">INDEX({"C-Class";"E-Class";"S-Class";"GLA";"GLC";"GLE";"GLS";"EQB"}, RANDBETWEEN(1,8))</f>
        <v>E-Class</v>
      </c>
      <c r="E838" s="4" t="str">
        <f t="shared" ca="1" si="118"/>
        <v>Sedan</v>
      </c>
      <c r="F838" s="4">
        <f t="shared" ca="1" si="119"/>
        <v>5</v>
      </c>
      <c r="G838" s="8">
        <f t="shared" ca="1" si="120"/>
        <v>7981315</v>
      </c>
      <c r="H838" s="8">
        <f t="shared" ca="1" si="121"/>
        <v>39906575</v>
      </c>
      <c r="I838" s="8">
        <f t="shared" ca="1" si="122"/>
        <v>28333668.25</v>
      </c>
      <c r="J838" s="8">
        <f t="shared" ca="1" si="123"/>
        <v>11572906.75</v>
      </c>
      <c r="K838" s="6">
        <f t="shared" ca="1" si="124"/>
        <v>0.28999999999999998</v>
      </c>
      <c r="L838" s="4" t="str" cm="1">
        <f t="array" aca="1" ref="L838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38" s="8">
        <f t="shared" ca="1" si="125"/>
        <v>6481</v>
      </c>
      <c r="N838" s="4" t="str" cm="1">
        <f t="array" aca="1" ref="N838" ca="1">INDEX({"New";"Repeat"}, RANDBETWEEN(1,2))</f>
        <v>Repeat</v>
      </c>
      <c r="O838" s="4" t="str" cm="1">
        <f t="array" aca="1" ref="O838" ca="1">INDEX({"Loan";"Cash";"Lease"}, RANDBETWEEN(1,3))</f>
        <v>Cash</v>
      </c>
    </row>
    <row r="839" spans="1:15" x14ac:dyDescent="0.2">
      <c r="A839" s="4">
        <v>837</v>
      </c>
      <c r="B839" s="5">
        <f t="shared" ca="1" si="117"/>
        <v>45343</v>
      </c>
      <c r="C839" s="4" t="str" cm="1">
        <f t="array" aca="1" ref="C839" ca="1">INDEX({"Cochin";"Delhi";"Mumbai";"Pune";"Bengaluru"}, RANDBETWEEN(1,5))</f>
        <v>Bengaluru</v>
      </c>
      <c r="D839" s="4" t="str" cm="1">
        <f t="array" aca="1" ref="D839" ca="1">INDEX({"C-Class";"E-Class";"S-Class";"GLA";"GLC";"GLE";"GLS";"EQB"}, RANDBETWEEN(1,8))</f>
        <v>C-Class</v>
      </c>
      <c r="E839" s="4" t="str">
        <f t="shared" ca="1" si="118"/>
        <v>Sedan</v>
      </c>
      <c r="F839" s="4">
        <f t="shared" ca="1" si="119"/>
        <v>3</v>
      </c>
      <c r="G839" s="8">
        <f t="shared" ca="1" si="120"/>
        <v>5918532</v>
      </c>
      <c r="H839" s="8">
        <f t="shared" ca="1" si="121"/>
        <v>17755596</v>
      </c>
      <c r="I839" s="8">
        <f t="shared" ca="1" si="122"/>
        <v>12784029.119999999</v>
      </c>
      <c r="J839" s="8">
        <f t="shared" ca="1" si="123"/>
        <v>4971566.8800000008</v>
      </c>
      <c r="K839" s="6">
        <f t="shared" ca="1" si="124"/>
        <v>0.28000000000000003</v>
      </c>
      <c r="L839" s="4" t="str" cm="1">
        <f t="array" aca="1" ref="L83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39" s="8">
        <f t="shared" ca="1" si="125"/>
        <v>19944</v>
      </c>
      <c r="N839" s="4" t="str" cm="1">
        <f t="array" aca="1" ref="N839" ca="1">INDEX({"New";"Repeat"}, RANDBETWEEN(1,2))</f>
        <v>New</v>
      </c>
      <c r="O839" s="4" t="str" cm="1">
        <f t="array" aca="1" ref="O839" ca="1">INDEX({"Loan";"Cash";"Lease"}, RANDBETWEEN(1,3))</f>
        <v>Loan</v>
      </c>
    </row>
    <row r="840" spans="1:15" x14ac:dyDescent="0.2">
      <c r="A840" s="4">
        <v>838</v>
      </c>
      <c r="B840" s="5">
        <f t="shared" ca="1" si="117"/>
        <v>45227</v>
      </c>
      <c r="C840" s="4" t="str" cm="1">
        <f t="array" aca="1" ref="C840" ca="1">INDEX({"Cochin";"Delhi";"Mumbai";"Pune";"Bengaluru"}, RANDBETWEEN(1,5))</f>
        <v>Pune</v>
      </c>
      <c r="D840" s="4" t="str" cm="1">
        <f t="array" aca="1" ref="D840" ca="1">INDEX({"C-Class";"E-Class";"S-Class";"GLA";"GLC";"GLE";"GLS";"EQB"}, RANDBETWEEN(1,8))</f>
        <v>EQB</v>
      </c>
      <c r="E840" s="4" t="str">
        <f t="shared" ca="1" si="118"/>
        <v>EV</v>
      </c>
      <c r="F840" s="4">
        <f t="shared" ca="1" si="119"/>
        <v>2</v>
      </c>
      <c r="G840" s="8">
        <f t="shared" ca="1" si="120"/>
        <v>7693447</v>
      </c>
      <c r="H840" s="8">
        <f t="shared" ca="1" si="121"/>
        <v>15386894</v>
      </c>
      <c r="I840" s="8">
        <f t="shared" ca="1" si="122"/>
        <v>11232432.619999999</v>
      </c>
      <c r="J840" s="8">
        <f t="shared" ca="1" si="123"/>
        <v>4154461.3800000008</v>
      </c>
      <c r="K840" s="6">
        <f t="shared" ca="1" si="124"/>
        <v>0.27000000000000007</v>
      </c>
      <c r="L840" s="4" t="str" cm="1">
        <f t="array" aca="1" ref="L84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40" s="8">
        <f t="shared" ca="1" si="125"/>
        <v>14869</v>
      </c>
      <c r="N840" s="4" t="str" cm="1">
        <f t="array" aca="1" ref="N840" ca="1">INDEX({"New";"Repeat"}, RANDBETWEEN(1,2))</f>
        <v>New</v>
      </c>
      <c r="O840" s="4" t="str" cm="1">
        <f t="array" aca="1" ref="O840" ca="1">INDEX({"Loan";"Cash";"Lease"}, RANDBETWEEN(1,3))</f>
        <v>Cash</v>
      </c>
    </row>
    <row r="841" spans="1:15" x14ac:dyDescent="0.2">
      <c r="A841" s="4">
        <v>839</v>
      </c>
      <c r="B841" s="5">
        <f t="shared" ca="1" si="117"/>
        <v>45787</v>
      </c>
      <c r="C841" s="4" t="str" cm="1">
        <f t="array" aca="1" ref="C841" ca="1">INDEX({"Cochin";"Delhi";"Mumbai";"Pune";"Bengaluru"}, RANDBETWEEN(1,5))</f>
        <v>Mumbai</v>
      </c>
      <c r="D841" s="4" t="str" cm="1">
        <f t="array" aca="1" ref="D841" ca="1">INDEX({"C-Class";"E-Class";"S-Class";"GLA";"GLC";"GLE";"GLS";"EQB"}, RANDBETWEEN(1,8))</f>
        <v>GLS</v>
      </c>
      <c r="E841" s="4" t="str">
        <f t="shared" ca="1" si="118"/>
        <v>SUV</v>
      </c>
      <c r="F841" s="4">
        <f t="shared" ca="1" si="119"/>
        <v>2</v>
      </c>
      <c r="G841" s="8">
        <f t="shared" ca="1" si="120"/>
        <v>14785349</v>
      </c>
      <c r="H841" s="8">
        <f t="shared" ca="1" si="121"/>
        <v>29570698</v>
      </c>
      <c r="I841" s="8">
        <f t="shared" ca="1" si="122"/>
        <v>23952265.379999999</v>
      </c>
      <c r="J841" s="8">
        <f t="shared" ca="1" si="123"/>
        <v>5618432.620000001</v>
      </c>
      <c r="K841" s="6">
        <f t="shared" ca="1" si="124"/>
        <v>0.19000000000000003</v>
      </c>
      <c r="L841" s="4" t="str" cm="1">
        <f t="array" aca="1" ref="L84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41" s="8">
        <f t="shared" ca="1" si="125"/>
        <v>7024</v>
      </c>
      <c r="N841" s="4" t="str" cm="1">
        <f t="array" aca="1" ref="N841" ca="1">INDEX({"New";"Repeat"}, RANDBETWEEN(1,2))</f>
        <v>Repeat</v>
      </c>
      <c r="O841" s="4" t="str" cm="1">
        <f t="array" aca="1" ref="O841" ca="1">INDEX({"Loan";"Cash";"Lease"}, RANDBETWEEN(1,3))</f>
        <v>Lease</v>
      </c>
    </row>
    <row r="842" spans="1:15" x14ac:dyDescent="0.2">
      <c r="A842" s="4">
        <v>840</v>
      </c>
      <c r="B842" s="5">
        <f t="shared" ca="1" si="117"/>
        <v>45736</v>
      </c>
      <c r="C842" s="4" t="str" cm="1">
        <f t="array" aca="1" ref="C842" ca="1">INDEX({"Cochin";"Delhi";"Mumbai";"Pune";"Bengaluru"}, RANDBETWEEN(1,5))</f>
        <v>Mumbai</v>
      </c>
      <c r="D842" s="4" t="str" cm="1">
        <f t="array" aca="1" ref="D842" ca="1">INDEX({"C-Class";"E-Class";"S-Class";"GLA";"GLC";"GLE";"GLS";"EQB"}, RANDBETWEEN(1,8))</f>
        <v>GLA</v>
      </c>
      <c r="E842" s="4" t="str">
        <f t="shared" ca="1" si="118"/>
        <v>SUV</v>
      </c>
      <c r="F842" s="4">
        <f t="shared" ca="1" si="119"/>
        <v>1</v>
      </c>
      <c r="G842" s="8">
        <f t="shared" ca="1" si="120"/>
        <v>4707706</v>
      </c>
      <c r="H842" s="8">
        <f t="shared" ca="1" si="121"/>
        <v>4707706</v>
      </c>
      <c r="I842" s="8">
        <f t="shared" ca="1" si="122"/>
        <v>3577856.56</v>
      </c>
      <c r="J842" s="8">
        <f t="shared" ca="1" si="123"/>
        <v>1129849.44</v>
      </c>
      <c r="K842" s="6">
        <f t="shared" ca="1" si="124"/>
        <v>0.24</v>
      </c>
      <c r="L842" s="4" t="str" cm="1">
        <f t="array" aca="1" ref="L842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42" s="8">
        <f t="shared" ca="1" si="125"/>
        <v>15649</v>
      </c>
      <c r="N842" s="4" t="str" cm="1">
        <f t="array" aca="1" ref="N842" ca="1">INDEX({"New";"Repeat"}, RANDBETWEEN(1,2))</f>
        <v>New</v>
      </c>
      <c r="O842" s="4" t="str" cm="1">
        <f t="array" aca="1" ref="O842" ca="1">INDEX({"Loan";"Cash";"Lease"}, RANDBETWEEN(1,3))</f>
        <v>Loan</v>
      </c>
    </row>
    <row r="843" spans="1:15" x14ac:dyDescent="0.2">
      <c r="A843" s="4">
        <v>841</v>
      </c>
      <c r="B843" s="5">
        <f t="shared" ca="1" si="117"/>
        <v>45895</v>
      </c>
      <c r="C843" s="4" t="str" cm="1">
        <f t="array" aca="1" ref="C843" ca="1">INDEX({"Cochin";"Delhi";"Mumbai";"Pune";"Bengaluru"}, RANDBETWEEN(1,5))</f>
        <v>Cochin</v>
      </c>
      <c r="D843" s="4" t="str" cm="1">
        <f t="array" aca="1" ref="D843" ca="1">INDEX({"C-Class";"E-Class";"S-Class";"GLA";"GLC";"GLE";"GLS";"EQB"}, RANDBETWEEN(1,8))</f>
        <v>E-Class</v>
      </c>
      <c r="E843" s="4" t="str">
        <f t="shared" ca="1" si="118"/>
        <v>Sedan</v>
      </c>
      <c r="F843" s="4">
        <f t="shared" ca="1" si="119"/>
        <v>2</v>
      </c>
      <c r="G843" s="8">
        <f t="shared" ca="1" si="120"/>
        <v>8142757</v>
      </c>
      <c r="H843" s="8">
        <f t="shared" ca="1" si="121"/>
        <v>16285514</v>
      </c>
      <c r="I843" s="8">
        <f t="shared" ca="1" si="122"/>
        <v>13191266.34</v>
      </c>
      <c r="J843" s="8">
        <f t="shared" ca="1" si="123"/>
        <v>3094247.66</v>
      </c>
      <c r="K843" s="6">
        <f t="shared" ca="1" si="124"/>
        <v>0.19</v>
      </c>
      <c r="L843" s="4" t="str" cm="1">
        <f t="array" aca="1" ref="L843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43" s="8">
        <f t="shared" ca="1" si="125"/>
        <v>18001</v>
      </c>
      <c r="N843" s="4" t="str" cm="1">
        <f t="array" aca="1" ref="N843" ca="1">INDEX({"New";"Repeat"}, RANDBETWEEN(1,2))</f>
        <v>New</v>
      </c>
      <c r="O843" s="4" t="str" cm="1">
        <f t="array" aca="1" ref="O843" ca="1">INDEX({"Loan";"Cash";"Lease"}, RANDBETWEEN(1,3))</f>
        <v>Loan</v>
      </c>
    </row>
    <row r="844" spans="1:15" x14ac:dyDescent="0.2">
      <c r="A844" s="4">
        <v>842</v>
      </c>
      <c r="B844" s="5">
        <f t="shared" ca="1" si="117"/>
        <v>45098</v>
      </c>
      <c r="C844" s="4" t="str" cm="1">
        <f t="array" aca="1" ref="C844" ca="1">INDEX({"Cochin";"Delhi";"Mumbai";"Pune";"Bengaluru"}, RANDBETWEEN(1,5))</f>
        <v>Pune</v>
      </c>
      <c r="D844" s="4" t="str" cm="1">
        <f t="array" aca="1" ref="D844" ca="1">INDEX({"C-Class";"E-Class";"S-Class";"GLA";"GLC";"GLE";"GLS";"EQB"}, RANDBETWEEN(1,8))</f>
        <v>GLS</v>
      </c>
      <c r="E844" s="4" t="str">
        <f t="shared" ca="1" si="118"/>
        <v>SUV</v>
      </c>
      <c r="F844" s="4">
        <f t="shared" ca="1" si="119"/>
        <v>5</v>
      </c>
      <c r="G844" s="8">
        <f t="shared" ca="1" si="120"/>
        <v>15181584</v>
      </c>
      <c r="H844" s="8">
        <f t="shared" ca="1" si="121"/>
        <v>75907920</v>
      </c>
      <c r="I844" s="8">
        <f t="shared" ca="1" si="122"/>
        <v>53135544</v>
      </c>
      <c r="J844" s="8">
        <f t="shared" ca="1" si="123"/>
        <v>22772376</v>
      </c>
      <c r="K844" s="6">
        <f t="shared" ca="1" si="124"/>
        <v>0.3</v>
      </c>
      <c r="L844" s="4" t="str" cm="1">
        <f t="array" aca="1" ref="L84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44" s="8">
        <f t="shared" ca="1" si="125"/>
        <v>16308</v>
      </c>
      <c r="N844" s="4" t="str" cm="1">
        <f t="array" aca="1" ref="N844" ca="1">INDEX({"New";"Repeat"}, RANDBETWEEN(1,2))</f>
        <v>New</v>
      </c>
      <c r="O844" s="4" t="str" cm="1">
        <f t="array" aca="1" ref="O844" ca="1">INDEX({"Loan";"Cash";"Lease"}, RANDBETWEEN(1,3))</f>
        <v>Lease</v>
      </c>
    </row>
    <row r="845" spans="1:15" x14ac:dyDescent="0.2">
      <c r="A845" s="4">
        <v>843</v>
      </c>
      <c r="B845" s="5">
        <f t="shared" ca="1" si="117"/>
        <v>45896</v>
      </c>
      <c r="C845" s="4" t="str" cm="1">
        <f t="array" aca="1" ref="C845" ca="1">INDEX({"Cochin";"Delhi";"Mumbai";"Pune";"Bengaluru"}, RANDBETWEEN(1,5))</f>
        <v>Cochin</v>
      </c>
      <c r="D845" s="4" t="str" cm="1">
        <f t="array" aca="1" ref="D845" ca="1">INDEX({"C-Class";"E-Class";"S-Class";"GLA";"GLC";"GLE";"GLS";"EQB"}, RANDBETWEEN(1,8))</f>
        <v>EQB</v>
      </c>
      <c r="E845" s="4" t="str">
        <f t="shared" ca="1" si="118"/>
        <v>EV</v>
      </c>
      <c r="F845" s="4">
        <f t="shared" ca="1" si="119"/>
        <v>5</v>
      </c>
      <c r="G845" s="8">
        <f t="shared" ca="1" si="120"/>
        <v>7905802</v>
      </c>
      <c r="H845" s="8">
        <f t="shared" ca="1" si="121"/>
        <v>39529010</v>
      </c>
      <c r="I845" s="8">
        <f t="shared" ca="1" si="122"/>
        <v>28460887.199999999</v>
      </c>
      <c r="J845" s="8">
        <f t="shared" ca="1" si="123"/>
        <v>11068122.800000001</v>
      </c>
      <c r="K845" s="6">
        <f t="shared" ca="1" si="124"/>
        <v>0.28000000000000003</v>
      </c>
      <c r="L845" s="4" t="str" cm="1">
        <f t="array" aca="1" ref="L845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45" s="8">
        <f t="shared" ca="1" si="125"/>
        <v>5496</v>
      </c>
      <c r="N845" s="4" t="str" cm="1">
        <f t="array" aca="1" ref="N845" ca="1">INDEX({"New";"Repeat"}, RANDBETWEEN(1,2))</f>
        <v>Repeat</v>
      </c>
      <c r="O845" s="4" t="str" cm="1">
        <f t="array" aca="1" ref="O845" ca="1">INDEX({"Loan";"Cash";"Lease"}, RANDBETWEEN(1,3))</f>
        <v>Lease</v>
      </c>
    </row>
    <row r="846" spans="1:15" x14ac:dyDescent="0.2">
      <c r="A846" s="4">
        <v>844</v>
      </c>
      <c r="B846" s="5">
        <f t="shared" ca="1" si="117"/>
        <v>45798</v>
      </c>
      <c r="C846" s="4" t="str" cm="1">
        <f t="array" aca="1" ref="C846" ca="1">INDEX({"Cochin";"Delhi";"Mumbai";"Pune";"Bengaluru"}, RANDBETWEEN(1,5))</f>
        <v>Pune</v>
      </c>
      <c r="D846" s="4" t="str" cm="1">
        <f t="array" aca="1" ref="D846" ca="1">INDEX({"C-Class";"E-Class";"S-Class";"GLA";"GLC";"GLE";"GLS";"EQB"}, RANDBETWEEN(1,8))</f>
        <v>EQB</v>
      </c>
      <c r="E846" s="4" t="str">
        <f t="shared" ca="1" si="118"/>
        <v>EV</v>
      </c>
      <c r="F846" s="4">
        <f t="shared" ca="1" si="119"/>
        <v>2</v>
      </c>
      <c r="G846" s="8">
        <f t="shared" ca="1" si="120"/>
        <v>7075524</v>
      </c>
      <c r="H846" s="8">
        <f t="shared" ca="1" si="121"/>
        <v>14151048</v>
      </c>
      <c r="I846" s="8">
        <f t="shared" ca="1" si="122"/>
        <v>11745369.84</v>
      </c>
      <c r="J846" s="8">
        <f t="shared" ca="1" si="123"/>
        <v>2405678.16</v>
      </c>
      <c r="K846" s="6">
        <f t="shared" ca="1" si="124"/>
        <v>0.17</v>
      </c>
      <c r="L846" s="4" t="str" cm="1">
        <f t="array" aca="1" ref="L846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46" s="8">
        <f t="shared" ca="1" si="125"/>
        <v>7513</v>
      </c>
      <c r="N846" s="4" t="str" cm="1">
        <f t="array" aca="1" ref="N846" ca="1">INDEX({"New";"Repeat"}, RANDBETWEEN(1,2))</f>
        <v>Repeat</v>
      </c>
      <c r="O846" s="4" t="str" cm="1">
        <f t="array" aca="1" ref="O846" ca="1">INDEX({"Loan";"Cash";"Lease"}, RANDBETWEEN(1,3))</f>
        <v>Cash</v>
      </c>
    </row>
    <row r="847" spans="1:15" x14ac:dyDescent="0.2">
      <c r="A847" s="4">
        <v>845</v>
      </c>
      <c r="B847" s="5">
        <f t="shared" ca="1" si="117"/>
        <v>45393</v>
      </c>
      <c r="C847" s="4" t="str" cm="1">
        <f t="array" aca="1" ref="C847" ca="1">INDEX({"Cochin";"Delhi";"Mumbai";"Pune";"Bengaluru"}, RANDBETWEEN(1,5))</f>
        <v>Mumbai</v>
      </c>
      <c r="D847" s="4" t="str" cm="1">
        <f t="array" aca="1" ref="D847" ca="1">INDEX({"C-Class";"E-Class";"S-Class";"GLA";"GLC";"GLE";"GLS";"EQB"}, RANDBETWEEN(1,8))</f>
        <v>GLE</v>
      </c>
      <c r="E847" s="4" t="str">
        <f t="shared" ca="1" si="118"/>
        <v>SUV</v>
      </c>
      <c r="F847" s="4">
        <f t="shared" ca="1" si="119"/>
        <v>3</v>
      </c>
      <c r="G847" s="8">
        <f t="shared" ca="1" si="120"/>
        <v>11607172</v>
      </c>
      <c r="H847" s="8">
        <f t="shared" ca="1" si="121"/>
        <v>34821516</v>
      </c>
      <c r="I847" s="8">
        <f t="shared" ca="1" si="122"/>
        <v>29598288.600000001</v>
      </c>
      <c r="J847" s="8">
        <f t="shared" ca="1" si="123"/>
        <v>5223227.3999999985</v>
      </c>
      <c r="K847" s="6">
        <f t="shared" ca="1" si="124"/>
        <v>0.14999999999999997</v>
      </c>
      <c r="L847" s="4" t="str" cm="1">
        <f t="array" aca="1" ref="L847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47" s="8">
        <f t="shared" ca="1" si="125"/>
        <v>6151</v>
      </c>
      <c r="N847" s="4" t="str" cm="1">
        <f t="array" aca="1" ref="N847" ca="1">INDEX({"New";"Repeat"}, RANDBETWEEN(1,2))</f>
        <v>Repeat</v>
      </c>
      <c r="O847" s="4" t="str" cm="1">
        <f t="array" aca="1" ref="O847" ca="1">INDEX({"Loan";"Cash";"Lease"}, RANDBETWEEN(1,3))</f>
        <v>Lease</v>
      </c>
    </row>
    <row r="848" spans="1:15" x14ac:dyDescent="0.2">
      <c r="A848" s="4">
        <v>846</v>
      </c>
      <c r="B848" s="5">
        <f t="shared" ca="1" si="117"/>
        <v>45323</v>
      </c>
      <c r="C848" s="4" t="str" cm="1">
        <f t="array" aca="1" ref="C848" ca="1">INDEX({"Cochin";"Delhi";"Mumbai";"Pune";"Bengaluru"}, RANDBETWEEN(1,5))</f>
        <v>Bengaluru</v>
      </c>
      <c r="D848" s="4" t="str" cm="1">
        <f t="array" aca="1" ref="D848" ca="1">INDEX({"C-Class";"E-Class";"S-Class";"GLA";"GLC";"GLE";"GLS";"EQB"}, RANDBETWEEN(1,8))</f>
        <v>GLS</v>
      </c>
      <c r="E848" s="4" t="str">
        <f t="shared" ca="1" si="118"/>
        <v>SUV</v>
      </c>
      <c r="F848" s="4">
        <f t="shared" ca="1" si="119"/>
        <v>3</v>
      </c>
      <c r="G848" s="8">
        <f t="shared" ca="1" si="120"/>
        <v>14753783</v>
      </c>
      <c r="H848" s="8">
        <f t="shared" ca="1" si="121"/>
        <v>44261349</v>
      </c>
      <c r="I848" s="8">
        <f t="shared" ca="1" si="122"/>
        <v>32310784.77</v>
      </c>
      <c r="J848" s="8">
        <f t="shared" ca="1" si="123"/>
        <v>11950564.23</v>
      </c>
      <c r="K848" s="6">
        <f t="shared" ca="1" si="124"/>
        <v>0.27</v>
      </c>
      <c r="L848" s="4" t="str" cm="1">
        <f t="array" aca="1" ref="L848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848" s="8">
        <f t="shared" ca="1" si="125"/>
        <v>21883</v>
      </c>
      <c r="N848" s="4" t="str" cm="1">
        <f t="array" aca="1" ref="N848" ca="1">INDEX({"New";"Repeat"}, RANDBETWEEN(1,2))</f>
        <v>New</v>
      </c>
      <c r="O848" s="4" t="str" cm="1">
        <f t="array" aca="1" ref="O848" ca="1">INDEX({"Loan";"Cash";"Lease"}, RANDBETWEEN(1,3))</f>
        <v>Loan</v>
      </c>
    </row>
    <row r="849" spans="1:15" x14ac:dyDescent="0.2">
      <c r="A849" s="4">
        <v>847</v>
      </c>
      <c r="B849" s="5">
        <f t="shared" ca="1" si="117"/>
        <v>45147</v>
      </c>
      <c r="C849" s="4" t="str" cm="1">
        <f t="array" aca="1" ref="C849" ca="1">INDEX({"Cochin";"Delhi";"Mumbai";"Pune";"Bengaluru"}, RANDBETWEEN(1,5))</f>
        <v>Delhi</v>
      </c>
      <c r="D849" s="4" t="str" cm="1">
        <f t="array" aca="1" ref="D849" ca="1">INDEX({"C-Class";"E-Class";"S-Class";"GLA";"GLC";"GLE";"GLS";"EQB"}, RANDBETWEEN(1,8))</f>
        <v>GLE</v>
      </c>
      <c r="E849" s="4" t="str">
        <f t="shared" ca="1" si="118"/>
        <v>SUV</v>
      </c>
      <c r="F849" s="4">
        <f t="shared" ca="1" si="119"/>
        <v>1</v>
      </c>
      <c r="G849" s="8">
        <f t="shared" ca="1" si="120"/>
        <v>10535139</v>
      </c>
      <c r="H849" s="8">
        <f t="shared" ca="1" si="121"/>
        <v>10535139</v>
      </c>
      <c r="I849" s="8">
        <f t="shared" ca="1" si="122"/>
        <v>8322759.8099999996</v>
      </c>
      <c r="J849" s="8">
        <f t="shared" ca="1" si="123"/>
        <v>2212379.1900000004</v>
      </c>
      <c r="K849" s="6">
        <f t="shared" ca="1" si="124"/>
        <v>0.21000000000000005</v>
      </c>
      <c r="L849" s="4" t="str" cm="1">
        <f t="array" aca="1" ref="L849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49" s="8">
        <f t="shared" ca="1" si="125"/>
        <v>7612</v>
      </c>
      <c r="N849" s="4" t="str" cm="1">
        <f t="array" aca="1" ref="N849" ca="1">INDEX({"New";"Repeat"}, RANDBETWEEN(1,2))</f>
        <v>Repeat</v>
      </c>
      <c r="O849" s="4" t="str" cm="1">
        <f t="array" aca="1" ref="O849" ca="1">INDEX({"Loan";"Cash";"Lease"}, RANDBETWEEN(1,3))</f>
        <v>Cash</v>
      </c>
    </row>
    <row r="850" spans="1:15" x14ac:dyDescent="0.2">
      <c r="A850" s="4">
        <v>848</v>
      </c>
      <c r="B850" s="5">
        <f t="shared" ca="1" si="117"/>
        <v>44982</v>
      </c>
      <c r="C850" s="4" t="str" cm="1">
        <f t="array" aca="1" ref="C850" ca="1">INDEX({"Cochin";"Delhi";"Mumbai";"Pune";"Bengaluru"}, RANDBETWEEN(1,5))</f>
        <v>Delhi</v>
      </c>
      <c r="D850" s="4" t="str" cm="1">
        <f t="array" aca="1" ref="D850" ca="1">INDEX({"C-Class";"E-Class";"S-Class";"GLA";"GLC";"GLE";"GLS";"EQB"}, RANDBETWEEN(1,8))</f>
        <v>GLA</v>
      </c>
      <c r="E850" s="4" t="str">
        <f t="shared" ca="1" si="118"/>
        <v>SUV</v>
      </c>
      <c r="F850" s="4">
        <f t="shared" ca="1" si="119"/>
        <v>3</v>
      </c>
      <c r="G850" s="8">
        <f t="shared" ca="1" si="120"/>
        <v>5386507</v>
      </c>
      <c r="H850" s="8">
        <f t="shared" ca="1" si="121"/>
        <v>16159521</v>
      </c>
      <c r="I850" s="8">
        <f t="shared" ca="1" si="122"/>
        <v>12281235.960000001</v>
      </c>
      <c r="J850" s="8">
        <f t="shared" ca="1" si="123"/>
        <v>3878285.0399999991</v>
      </c>
      <c r="K850" s="6">
        <f t="shared" ca="1" si="124"/>
        <v>0.23999999999999994</v>
      </c>
      <c r="L850" s="4" t="str" cm="1">
        <f t="array" aca="1" ref="L850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50" s="8">
        <f t="shared" ca="1" si="125"/>
        <v>20136</v>
      </c>
      <c r="N850" s="4" t="str" cm="1">
        <f t="array" aca="1" ref="N850" ca="1">INDEX({"New";"Repeat"}, RANDBETWEEN(1,2))</f>
        <v>New</v>
      </c>
      <c r="O850" s="4" t="str" cm="1">
        <f t="array" aca="1" ref="O850" ca="1">INDEX({"Loan";"Cash";"Lease"}, RANDBETWEEN(1,3))</f>
        <v>Cash</v>
      </c>
    </row>
    <row r="851" spans="1:15" x14ac:dyDescent="0.2">
      <c r="A851" s="4">
        <v>849</v>
      </c>
      <c r="B851" s="5">
        <f t="shared" ca="1" si="117"/>
        <v>45387</v>
      </c>
      <c r="C851" s="4" t="str" cm="1">
        <f t="array" aca="1" ref="C851" ca="1">INDEX({"Cochin";"Delhi";"Mumbai";"Pune";"Bengaluru"}, RANDBETWEEN(1,5))</f>
        <v>Delhi</v>
      </c>
      <c r="D851" s="4" t="str" cm="1">
        <f t="array" aca="1" ref="D851" ca="1">INDEX({"C-Class";"E-Class";"S-Class";"GLA";"GLC";"GLE";"GLS";"EQB"}, RANDBETWEEN(1,8))</f>
        <v>GLC</v>
      </c>
      <c r="E851" s="4" t="str">
        <f t="shared" ca="1" si="118"/>
        <v>SUV</v>
      </c>
      <c r="F851" s="4">
        <f t="shared" ca="1" si="119"/>
        <v>1</v>
      </c>
      <c r="G851" s="8">
        <f t="shared" ca="1" si="120"/>
        <v>6522663</v>
      </c>
      <c r="H851" s="8">
        <f t="shared" ca="1" si="121"/>
        <v>6522663</v>
      </c>
      <c r="I851" s="8">
        <f t="shared" ca="1" si="122"/>
        <v>4891997.25</v>
      </c>
      <c r="J851" s="8">
        <f t="shared" ca="1" si="123"/>
        <v>1630665.75</v>
      </c>
      <c r="K851" s="6">
        <f t="shared" ca="1" si="124"/>
        <v>0.25</v>
      </c>
      <c r="L851" s="4" t="str" cm="1">
        <f t="array" aca="1" ref="L85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51" s="8">
        <f t="shared" ca="1" si="125"/>
        <v>24172</v>
      </c>
      <c r="N851" s="4" t="str" cm="1">
        <f t="array" aca="1" ref="N851" ca="1">INDEX({"New";"Repeat"}, RANDBETWEEN(1,2))</f>
        <v>New</v>
      </c>
      <c r="O851" s="4" t="str" cm="1">
        <f t="array" aca="1" ref="O851" ca="1">INDEX({"Loan";"Cash";"Lease"}, RANDBETWEEN(1,3))</f>
        <v>Lease</v>
      </c>
    </row>
    <row r="852" spans="1:15" x14ac:dyDescent="0.2">
      <c r="A852" s="4">
        <v>850</v>
      </c>
      <c r="B852" s="5">
        <f t="shared" ca="1" si="117"/>
        <v>45627</v>
      </c>
      <c r="C852" s="4" t="str" cm="1">
        <f t="array" aca="1" ref="C852" ca="1">INDEX({"Cochin";"Delhi";"Mumbai";"Pune";"Bengaluru"}, RANDBETWEEN(1,5))</f>
        <v>Pune</v>
      </c>
      <c r="D852" s="4" t="str" cm="1">
        <f t="array" aca="1" ref="D852" ca="1">INDEX({"C-Class";"E-Class";"S-Class";"GLA";"GLC";"GLE";"GLS";"EQB"}, RANDBETWEEN(1,8))</f>
        <v>C-Class</v>
      </c>
      <c r="E852" s="4" t="str">
        <f t="shared" ca="1" si="118"/>
        <v>Sedan</v>
      </c>
      <c r="F852" s="4">
        <f t="shared" ca="1" si="119"/>
        <v>5</v>
      </c>
      <c r="G852" s="8">
        <f t="shared" ca="1" si="120"/>
        <v>5722167</v>
      </c>
      <c r="H852" s="8">
        <f t="shared" ca="1" si="121"/>
        <v>28610835</v>
      </c>
      <c r="I852" s="8">
        <f t="shared" ca="1" si="122"/>
        <v>24033101.399999999</v>
      </c>
      <c r="J852" s="8">
        <f t="shared" ca="1" si="123"/>
        <v>4577733.6000000015</v>
      </c>
      <c r="K852" s="6">
        <f t="shared" ca="1" si="124"/>
        <v>0.16000000000000006</v>
      </c>
      <c r="L852" s="4" t="str" cm="1">
        <f t="array" aca="1" ref="L852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52" s="8">
        <f t="shared" ca="1" si="125"/>
        <v>17955</v>
      </c>
      <c r="N852" s="4" t="str" cm="1">
        <f t="array" aca="1" ref="N852" ca="1">INDEX({"New";"Repeat"}, RANDBETWEEN(1,2))</f>
        <v>New</v>
      </c>
      <c r="O852" s="4" t="str" cm="1">
        <f t="array" aca="1" ref="O852" ca="1">INDEX({"Loan";"Cash";"Lease"}, RANDBETWEEN(1,3))</f>
        <v>Loan</v>
      </c>
    </row>
    <row r="853" spans="1:15" x14ac:dyDescent="0.2">
      <c r="A853" s="4">
        <v>851</v>
      </c>
      <c r="B853" s="5">
        <f t="shared" ca="1" si="117"/>
        <v>45236</v>
      </c>
      <c r="C853" s="4" t="str" cm="1">
        <f t="array" aca="1" ref="C853" ca="1">INDEX({"Cochin";"Delhi";"Mumbai";"Pune";"Bengaluru"}, RANDBETWEEN(1,5))</f>
        <v>Cochin</v>
      </c>
      <c r="D853" s="4" t="str" cm="1">
        <f t="array" aca="1" ref="D853" ca="1">INDEX({"C-Class";"E-Class";"S-Class";"GLA";"GLC";"GLE";"GLS";"EQB"}, RANDBETWEEN(1,8))</f>
        <v>GLE</v>
      </c>
      <c r="E853" s="4" t="str">
        <f t="shared" ca="1" si="118"/>
        <v>SUV</v>
      </c>
      <c r="F853" s="4">
        <f t="shared" ca="1" si="119"/>
        <v>1</v>
      </c>
      <c r="G853" s="8">
        <f t="shared" ca="1" si="120"/>
        <v>11100706</v>
      </c>
      <c r="H853" s="8">
        <f t="shared" ca="1" si="121"/>
        <v>11100706</v>
      </c>
      <c r="I853" s="8">
        <f t="shared" ca="1" si="122"/>
        <v>7992508.3200000003</v>
      </c>
      <c r="J853" s="8">
        <f t="shared" ca="1" si="123"/>
        <v>3108197.6799999997</v>
      </c>
      <c r="K853" s="6">
        <f t="shared" ca="1" si="124"/>
        <v>0.27999999999999997</v>
      </c>
      <c r="L853" s="4" t="str" cm="1">
        <f t="array" aca="1" ref="L85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53" s="8">
        <f t="shared" ca="1" si="125"/>
        <v>21232</v>
      </c>
      <c r="N853" s="4" t="str" cm="1">
        <f t="array" aca="1" ref="N853" ca="1">INDEX({"New";"Repeat"}, RANDBETWEEN(1,2))</f>
        <v>New</v>
      </c>
      <c r="O853" s="4" t="str" cm="1">
        <f t="array" aca="1" ref="O853" ca="1">INDEX({"Loan";"Cash";"Lease"}, RANDBETWEEN(1,3))</f>
        <v>Cash</v>
      </c>
    </row>
    <row r="854" spans="1:15" x14ac:dyDescent="0.2">
      <c r="A854" s="4">
        <v>852</v>
      </c>
      <c r="B854" s="5">
        <f t="shared" ca="1" si="117"/>
        <v>45725</v>
      </c>
      <c r="C854" s="4" t="str" cm="1">
        <f t="array" aca="1" ref="C854" ca="1">INDEX({"Cochin";"Delhi";"Mumbai";"Pune";"Bengaluru"}, RANDBETWEEN(1,5))</f>
        <v>Bengaluru</v>
      </c>
      <c r="D854" s="4" t="str" cm="1">
        <f t="array" aca="1" ref="D854" ca="1">INDEX({"C-Class";"E-Class";"S-Class";"GLA";"GLC";"GLE";"GLS";"EQB"}, RANDBETWEEN(1,8))</f>
        <v>S-Class</v>
      </c>
      <c r="E854" s="4" t="str">
        <f t="shared" ca="1" si="118"/>
        <v>Sedan</v>
      </c>
      <c r="F854" s="4">
        <f t="shared" ca="1" si="119"/>
        <v>2</v>
      </c>
      <c r="G854" s="8">
        <f t="shared" ca="1" si="120"/>
        <v>21725455</v>
      </c>
      <c r="H854" s="8">
        <f t="shared" ca="1" si="121"/>
        <v>43450910</v>
      </c>
      <c r="I854" s="8">
        <f t="shared" ca="1" si="122"/>
        <v>33891709.799999997</v>
      </c>
      <c r="J854" s="8">
        <f t="shared" ca="1" si="123"/>
        <v>9559200.200000003</v>
      </c>
      <c r="K854" s="6">
        <f t="shared" ca="1" si="124"/>
        <v>0.22000000000000006</v>
      </c>
      <c r="L854" s="4" t="str" cm="1">
        <f t="array" aca="1" ref="L854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54" s="8">
        <f t="shared" ca="1" si="125"/>
        <v>7664</v>
      </c>
      <c r="N854" s="4" t="str" cm="1">
        <f t="array" aca="1" ref="N854" ca="1">INDEX({"New";"Repeat"}, RANDBETWEEN(1,2))</f>
        <v>Repeat</v>
      </c>
      <c r="O854" s="4" t="str" cm="1">
        <f t="array" aca="1" ref="O854" ca="1">INDEX({"Loan";"Cash";"Lease"}, RANDBETWEEN(1,3))</f>
        <v>Loan</v>
      </c>
    </row>
    <row r="855" spans="1:15" x14ac:dyDescent="0.2">
      <c r="A855" s="4">
        <v>853</v>
      </c>
      <c r="B855" s="5">
        <f t="shared" ca="1" si="117"/>
        <v>45071</v>
      </c>
      <c r="C855" s="4" t="str" cm="1">
        <f t="array" aca="1" ref="C855" ca="1">INDEX({"Cochin";"Delhi";"Mumbai";"Pune";"Bengaluru"}, RANDBETWEEN(1,5))</f>
        <v>Pune</v>
      </c>
      <c r="D855" s="4" t="str" cm="1">
        <f t="array" aca="1" ref="D855" ca="1">INDEX({"C-Class";"E-Class";"S-Class";"GLA";"GLC";"GLE";"GLS";"EQB"}, RANDBETWEEN(1,8))</f>
        <v>GLC</v>
      </c>
      <c r="E855" s="4" t="str">
        <f t="shared" ca="1" si="118"/>
        <v>SUV</v>
      </c>
      <c r="F855" s="4">
        <f t="shared" ca="1" si="119"/>
        <v>4</v>
      </c>
      <c r="G855" s="8">
        <f t="shared" ca="1" si="120"/>
        <v>7075672</v>
      </c>
      <c r="H855" s="8">
        <f t="shared" ca="1" si="121"/>
        <v>28302688</v>
      </c>
      <c r="I855" s="8">
        <f t="shared" ca="1" si="122"/>
        <v>20094908.48</v>
      </c>
      <c r="J855" s="8">
        <f t="shared" ca="1" si="123"/>
        <v>8207779.5199999996</v>
      </c>
      <c r="K855" s="6">
        <f t="shared" ca="1" si="124"/>
        <v>0.28999999999999998</v>
      </c>
      <c r="L855" s="4" t="str" cm="1">
        <f t="array" aca="1" ref="L85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55" s="8">
        <f t="shared" ca="1" si="125"/>
        <v>23659</v>
      </c>
      <c r="N855" s="4" t="str" cm="1">
        <f t="array" aca="1" ref="N855" ca="1">INDEX({"New";"Repeat"}, RANDBETWEEN(1,2))</f>
        <v>New</v>
      </c>
      <c r="O855" s="4" t="str" cm="1">
        <f t="array" aca="1" ref="O855" ca="1">INDEX({"Loan";"Cash";"Lease"}, RANDBETWEEN(1,3))</f>
        <v>Cash</v>
      </c>
    </row>
    <row r="856" spans="1:15" x14ac:dyDescent="0.2">
      <c r="A856" s="4">
        <v>854</v>
      </c>
      <c r="B856" s="5">
        <f t="shared" ca="1" si="117"/>
        <v>45779</v>
      </c>
      <c r="C856" s="4" t="str" cm="1">
        <f t="array" aca="1" ref="C856" ca="1">INDEX({"Cochin";"Delhi";"Mumbai";"Pune";"Bengaluru"}, RANDBETWEEN(1,5))</f>
        <v>Delhi</v>
      </c>
      <c r="D856" s="4" t="str" cm="1">
        <f t="array" aca="1" ref="D856" ca="1">INDEX({"C-Class";"E-Class";"S-Class";"GLA";"GLC";"GLE";"GLS";"EQB"}, RANDBETWEEN(1,8))</f>
        <v>GLA</v>
      </c>
      <c r="E856" s="4" t="str">
        <f t="shared" ca="1" si="118"/>
        <v>SUV</v>
      </c>
      <c r="F856" s="4">
        <f t="shared" ca="1" si="119"/>
        <v>1</v>
      </c>
      <c r="G856" s="8">
        <f t="shared" ca="1" si="120"/>
        <v>4931178</v>
      </c>
      <c r="H856" s="8">
        <f t="shared" ca="1" si="121"/>
        <v>4931178</v>
      </c>
      <c r="I856" s="8">
        <f t="shared" ca="1" si="122"/>
        <v>3797007.06</v>
      </c>
      <c r="J856" s="8">
        <f t="shared" ca="1" si="123"/>
        <v>1134170.94</v>
      </c>
      <c r="K856" s="6">
        <f t="shared" ca="1" si="124"/>
        <v>0.22999999999999998</v>
      </c>
      <c r="L856" s="4" t="str" cm="1">
        <f t="array" aca="1" ref="L856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56" s="8">
        <f t="shared" ca="1" si="125"/>
        <v>5337</v>
      </c>
      <c r="N856" s="4" t="str" cm="1">
        <f t="array" aca="1" ref="N856" ca="1">INDEX({"New";"Repeat"}, RANDBETWEEN(1,2))</f>
        <v>Repeat</v>
      </c>
      <c r="O856" s="4" t="str" cm="1">
        <f t="array" aca="1" ref="O856" ca="1">INDEX({"Loan";"Cash";"Lease"}, RANDBETWEEN(1,3))</f>
        <v>Cash</v>
      </c>
    </row>
    <row r="857" spans="1:15" x14ac:dyDescent="0.2">
      <c r="A857" s="4">
        <v>855</v>
      </c>
      <c r="B857" s="5">
        <f t="shared" ca="1" si="117"/>
        <v>45844</v>
      </c>
      <c r="C857" s="4" t="str" cm="1">
        <f t="array" aca="1" ref="C857" ca="1">INDEX({"Cochin";"Delhi";"Mumbai";"Pune";"Bengaluru"}, RANDBETWEEN(1,5))</f>
        <v>Bengaluru</v>
      </c>
      <c r="D857" s="4" t="str" cm="1">
        <f t="array" aca="1" ref="D857" ca="1">INDEX({"C-Class";"E-Class";"S-Class";"GLA";"GLC";"GLE";"GLS";"EQB"}, RANDBETWEEN(1,8))</f>
        <v>GLA</v>
      </c>
      <c r="E857" s="4" t="str">
        <f t="shared" ca="1" si="118"/>
        <v>SUV</v>
      </c>
      <c r="F857" s="4">
        <f t="shared" ca="1" si="119"/>
        <v>5</v>
      </c>
      <c r="G857" s="8">
        <f t="shared" ca="1" si="120"/>
        <v>5197731</v>
      </c>
      <c r="H857" s="8">
        <f t="shared" ca="1" si="121"/>
        <v>25988655</v>
      </c>
      <c r="I857" s="8">
        <f t="shared" ca="1" si="122"/>
        <v>18451945.050000001</v>
      </c>
      <c r="J857" s="8">
        <f t="shared" ca="1" si="123"/>
        <v>7536709.9499999993</v>
      </c>
      <c r="K857" s="6">
        <f t="shared" ca="1" si="124"/>
        <v>0.28999999999999998</v>
      </c>
      <c r="L857" s="4" t="str" cm="1">
        <f t="array" aca="1" ref="L85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857" s="8">
        <f t="shared" ca="1" si="125"/>
        <v>6501</v>
      </c>
      <c r="N857" s="4" t="str" cm="1">
        <f t="array" aca="1" ref="N857" ca="1">INDEX({"New";"Repeat"}, RANDBETWEEN(1,2))</f>
        <v>Repeat</v>
      </c>
      <c r="O857" s="4" t="str" cm="1">
        <f t="array" aca="1" ref="O857" ca="1">INDEX({"Loan";"Cash";"Lease"}, RANDBETWEEN(1,3))</f>
        <v>Lease</v>
      </c>
    </row>
    <row r="858" spans="1:15" x14ac:dyDescent="0.2">
      <c r="A858" s="4">
        <v>856</v>
      </c>
      <c r="B858" s="5">
        <f t="shared" ca="1" si="117"/>
        <v>44931</v>
      </c>
      <c r="C858" s="4" t="str" cm="1">
        <f t="array" aca="1" ref="C858" ca="1">INDEX({"Cochin";"Delhi";"Mumbai";"Pune";"Bengaluru"}, RANDBETWEEN(1,5))</f>
        <v>Pune</v>
      </c>
      <c r="D858" s="4" t="str" cm="1">
        <f t="array" aca="1" ref="D858" ca="1">INDEX({"C-Class";"E-Class";"S-Class";"GLA";"GLC";"GLE";"GLS";"EQB"}, RANDBETWEEN(1,8))</f>
        <v>GLS</v>
      </c>
      <c r="E858" s="4" t="str">
        <f t="shared" ca="1" si="118"/>
        <v>SUV</v>
      </c>
      <c r="F858" s="4">
        <f t="shared" ca="1" si="119"/>
        <v>2</v>
      </c>
      <c r="G858" s="8">
        <f t="shared" ca="1" si="120"/>
        <v>15883726</v>
      </c>
      <c r="H858" s="8">
        <f t="shared" ca="1" si="121"/>
        <v>31767452</v>
      </c>
      <c r="I858" s="8">
        <f t="shared" ca="1" si="122"/>
        <v>25096287.079999998</v>
      </c>
      <c r="J858" s="8">
        <f t="shared" ca="1" si="123"/>
        <v>6671164.9200000018</v>
      </c>
      <c r="K858" s="6">
        <f t="shared" ca="1" si="124"/>
        <v>0.21000000000000005</v>
      </c>
      <c r="L858" s="4" t="str" cm="1">
        <f t="array" aca="1" ref="L858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58" s="8">
        <f t="shared" ca="1" si="125"/>
        <v>16022</v>
      </c>
      <c r="N858" s="4" t="str" cm="1">
        <f t="array" aca="1" ref="N858" ca="1">INDEX({"New";"Repeat"}, RANDBETWEEN(1,2))</f>
        <v>New</v>
      </c>
      <c r="O858" s="4" t="str" cm="1">
        <f t="array" aca="1" ref="O858" ca="1">INDEX({"Loan";"Cash";"Lease"}, RANDBETWEEN(1,3))</f>
        <v>Cash</v>
      </c>
    </row>
    <row r="859" spans="1:15" x14ac:dyDescent="0.2">
      <c r="A859" s="4">
        <v>857</v>
      </c>
      <c r="B859" s="5">
        <f t="shared" ca="1" si="117"/>
        <v>45706</v>
      </c>
      <c r="C859" s="4" t="str" cm="1">
        <f t="array" aca="1" ref="C859" ca="1">INDEX({"Cochin";"Delhi";"Mumbai";"Pune";"Bengaluru"}, RANDBETWEEN(1,5))</f>
        <v>Cochin</v>
      </c>
      <c r="D859" s="4" t="str" cm="1">
        <f t="array" aca="1" ref="D859" ca="1">INDEX({"C-Class";"E-Class";"S-Class";"GLA";"GLC";"GLE";"GLS";"EQB"}, RANDBETWEEN(1,8))</f>
        <v>EQB</v>
      </c>
      <c r="E859" s="4" t="str">
        <f t="shared" ca="1" si="118"/>
        <v>EV</v>
      </c>
      <c r="F859" s="4">
        <f t="shared" ca="1" si="119"/>
        <v>4</v>
      </c>
      <c r="G859" s="8">
        <f t="shared" ca="1" si="120"/>
        <v>7741693</v>
      </c>
      <c r="H859" s="8">
        <f t="shared" ca="1" si="121"/>
        <v>30966772</v>
      </c>
      <c r="I859" s="8">
        <f t="shared" ca="1" si="122"/>
        <v>23534746.719999999</v>
      </c>
      <c r="J859" s="8">
        <f t="shared" ca="1" si="123"/>
        <v>7432025.2800000012</v>
      </c>
      <c r="K859" s="6">
        <f t="shared" ca="1" si="124"/>
        <v>0.24000000000000005</v>
      </c>
      <c r="L859" s="4" t="str" cm="1">
        <f t="array" aca="1" ref="L85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59" s="8">
        <f t="shared" ca="1" si="125"/>
        <v>7623</v>
      </c>
      <c r="N859" s="4" t="str" cm="1">
        <f t="array" aca="1" ref="N859" ca="1">INDEX({"New";"Repeat"}, RANDBETWEEN(1,2))</f>
        <v>Repeat</v>
      </c>
      <c r="O859" s="4" t="str" cm="1">
        <f t="array" aca="1" ref="O859" ca="1">INDEX({"Loan";"Cash";"Lease"}, RANDBETWEEN(1,3))</f>
        <v>Cash</v>
      </c>
    </row>
    <row r="860" spans="1:15" x14ac:dyDescent="0.2">
      <c r="A860" s="4">
        <v>858</v>
      </c>
      <c r="B860" s="5">
        <f t="shared" ca="1" si="117"/>
        <v>45351</v>
      </c>
      <c r="C860" s="4" t="str" cm="1">
        <f t="array" aca="1" ref="C860" ca="1">INDEX({"Cochin";"Delhi";"Mumbai";"Pune";"Bengaluru"}, RANDBETWEEN(1,5))</f>
        <v>Pune</v>
      </c>
      <c r="D860" s="4" t="str" cm="1">
        <f t="array" aca="1" ref="D860" ca="1">INDEX({"C-Class";"E-Class";"S-Class";"GLA";"GLC";"GLE";"GLS";"EQB"}, RANDBETWEEN(1,8))</f>
        <v>GLE</v>
      </c>
      <c r="E860" s="4" t="str">
        <f t="shared" ca="1" si="118"/>
        <v>SUV</v>
      </c>
      <c r="F860" s="4">
        <f t="shared" ca="1" si="119"/>
        <v>4</v>
      </c>
      <c r="G860" s="8">
        <f t="shared" ca="1" si="120"/>
        <v>11154386</v>
      </c>
      <c r="H860" s="8">
        <f t="shared" ca="1" si="121"/>
        <v>44617544</v>
      </c>
      <c r="I860" s="8">
        <f t="shared" ca="1" si="122"/>
        <v>36586386.079999998</v>
      </c>
      <c r="J860" s="8">
        <f t="shared" ca="1" si="123"/>
        <v>8031157.9200000018</v>
      </c>
      <c r="K860" s="6">
        <f t="shared" ca="1" si="124"/>
        <v>0.18000000000000005</v>
      </c>
      <c r="L860" s="4" t="str" cm="1">
        <f t="array" aca="1" ref="L86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860" s="8">
        <f t="shared" ca="1" si="125"/>
        <v>19934</v>
      </c>
      <c r="N860" s="4" t="str" cm="1">
        <f t="array" aca="1" ref="N860" ca="1">INDEX({"New";"Repeat"}, RANDBETWEEN(1,2))</f>
        <v>New</v>
      </c>
      <c r="O860" s="4" t="str" cm="1">
        <f t="array" aca="1" ref="O860" ca="1">INDEX({"Loan";"Cash";"Lease"}, RANDBETWEEN(1,3))</f>
        <v>Loan</v>
      </c>
    </row>
    <row r="861" spans="1:15" x14ac:dyDescent="0.2">
      <c r="A861" s="4">
        <v>859</v>
      </c>
      <c r="B861" s="5">
        <f t="shared" ca="1" si="117"/>
        <v>45411</v>
      </c>
      <c r="C861" s="4" t="str" cm="1">
        <f t="array" aca="1" ref="C861" ca="1">INDEX({"Cochin";"Delhi";"Mumbai";"Pune";"Bengaluru"}, RANDBETWEEN(1,5))</f>
        <v>Pune</v>
      </c>
      <c r="D861" s="4" t="str" cm="1">
        <f t="array" aca="1" ref="D861" ca="1">INDEX({"C-Class";"E-Class";"S-Class";"GLA";"GLC";"GLE";"GLS";"EQB"}, RANDBETWEEN(1,8))</f>
        <v>GLA</v>
      </c>
      <c r="E861" s="4" t="str">
        <f t="shared" ca="1" si="118"/>
        <v>SUV</v>
      </c>
      <c r="F861" s="4">
        <f t="shared" ca="1" si="119"/>
        <v>3</v>
      </c>
      <c r="G861" s="8">
        <f t="shared" ca="1" si="120"/>
        <v>5304563</v>
      </c>
      <c r="H861" s="8">
        <f t="shared" ca="1" si="121"/>
        <v>15913689</v>
      </c>
      <c r="I861" s="8">
        <f t="shared" ca="1" si="122"/>
        <v>11616992.970000001</v>
      </c>
      <c r="J861" s="8">
        <f t="shared" ca="1" si="123"/>
        <v>4296696.0299999993</v>
      </c>
      <c r="K861" s="6">
        <f t="shared" ca="1" si="124"/>
        <v>0.26999999999999996</v>
      </c>
      <c r="L861" s="4" t="str" cm="1">
        <f t="array" aca="1" ref="L86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61" s="8">
        <f t="shared" ca="1" si="125"/>
        <v>10026</v>
      </c>
      <c r="N861" s="4" t="str" cm="1">
        <f t="array" aca="1" ref="N861" ca="1">INDEX({"New";"Repeat"}, RANDBETWEEN(1,2))</f>
        <v>New</v>
      </c>
      <c r="O861" s="4" t="str" cm="1">
        <f t="array" aca="1" ref="O861" ca="1">INDEX({"Loan";"Cash";"Lease"}, RANDBETWEEN(1,3))</f>
        <v>Loan</v>
      </c>
    </row>
    <row r="862" spans="1:15" x14ac:dyDescent="0.2">
      <c r="A862" s="4">
        <v>860</v>
      </c>
      <c r="B862" s="5">
        <f t="shared" ca="1" si="117"/>
        <v>45288</v>
      </c>
      <c r="C862" s="4" t="str" cm="1">
        <f t="array" aca="1" ref="C862" ca="1">INDEX({"Cochin";"Delhi";"Mumbai";"Pune";"Bengaluru"}, RANDBETWEEN(1,5))</f>
        <v>Bengaluru</v>
      </c>
      <c r="D862" s="4" t="str" cm="1">
        <f t="array" aca="1" ref="D862" ca="1">INDEX({"C-Class";"E-Class";"S-Class";"GLA";"GLC";"GLE";"GLS";"EQB"}, RANDBETWEEN(1,8))</f>
        <v>GLC</v>
      </c>
      <c r="E862" s="4" t="str">
        <f t="shared" ca="1" si="118"/>
        <v>SUV</v>
      </c>
      <c r="F862" s="4">
        <f t="shared" ca="1" si="119"/>
        <v>4</v>
      </c>
      <c r="G862" s="8">
        <f t="shared" ca="1" si="120"/>
        <v>6833513</v>
      </c>
      <c r="H862" s="8">
        <f t="shared" ca="1" si="121"/>
        <v>27334052</v>
      </c>
      <c r="I862" s="8">
        <f t="shared" ca="1" si="122"/>
        <v>22960603.68</v>
      </c>
      <c r="J862" s="8">
        <f t="shared" ca="1" si="123"/>
        <v>4373448.32</v>
      </c>
      <c r="K862" s="6">
        <f t="shared" ca="1" si="124"/>
        <v>0.16</v>
      </c>
      <c r="L862" s="4" t="str" cm="1">
        <f t="array" aca="1" ref="L86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62" s="8">
        <f t="shared" ca="1" si="125"/>
        <v>14775</v>
      </c>
      <c r="N862" s="4" t="str" cm="1">
        <f t="array" aca="1" ref="N862" ca="1">INDEX({"New";"Repeat"}, RANDBETWEEN(1,2))</f>
        <v>New</v>
      </c>
      <c r="O862" s="4" t="str" cm="1">
        <f t="array" aca="1" ref="O862" ca="1">INDEX({"Loan";"Cash";"Lease"}, RANDBETWEEN(1,3))</f>
        <v>Cash</v>
      </c>
    </row>
    <row r="863" spans="1:15" x14ac:dyDescent="0.2">
      <c r="A863" s="4">
        <v>861</v>
      </c>
      <c r="B863" s="5">
        <f t="shared" ca="1" si="117"/>
        <v>44985</v>
      </c>
      <c r="C863" s="4" t="str" cm="1">
        <f t="array" aca="1" ref="C863" ca="1">INDEX({"Cochin";"Delhi";"Mumbai";"Pune";"Bengaluru"}, RANDBETWEEN(1,5))</f>
        <v>Cochin</v>
      </c>
      <c r="D863" s="4" t="str" cm="1">
        <f t="array" aca="1" ref="D863" ca="1">INDEX({"C-Class";"E-Class";"S-Class";"GLA";"GLC";"GLE";"GLS";"EQB"}, RANDBETWEEN(1,8))</f>
        <v>GLA</v>
      </c>
      <c r="E863" s="4" t="str">
        <f t="shared" ca="1" si="118"/>
        <v>SUV</v>
      </c>
      <c r="F863" s="4">
        <f t="shared" ca="1" si="119"/>
        <v>5</v>
      </c>
      <c r="G863" s="8">
        <f t="shared" ca="1" si="120"/>
        <v>5261330</v>
      </c>
      <c r="H863" s="8">
        <f t="shared" ca="1" si="121"/>
        <v>26306650</v>
      </c>
      <c r="I863" s="8">
        <f t="shared" ca="1" si="122"/>
        <v>19993054</v>
      </c>
      <c r="J863" s="8">
        <f t="shared" ca="1" si="123"/>
        <v>6313596</v>
      </c>
      <c r="K863" s="6">
        <f t="shared" ca="1" si="124"/>
        <v>0.24</v>
      </c>
      <c r="L863" s="4" t="str" cm="1">
        <f t="array" aca="1" ref="L863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63" s="8">
        <f t="shared" ca="1" si="125"/>
        <v>17700</v>
      </c>
      <c r="N863" s="4" t="str" cm="1">
        <f t="array" aca="1" ref="N863" ca="1">INDEX({"New";"Repeat"}, RANDBETWEEN(1,2))</f>
        <v>New</v>
      </c>
      <c r="O863" s="4" t="str" cm="1">
        <f t="array" aca="1" ref="O863" ca="1">INDEX({"Loan";"Cash";"Lease"}, RANDBETWEEN(1,3))</f>
        <v>Loan</v>
      </c>
    </row>
    <row r="864" spans="1:15" x14ac:dyDescent="0.2">
      <c r="A864" s="4">
        <v>862</v>
      </c>
      <c r="B864" s="5">
        <f t="shared" ca="1" si="117"/>
        <v>45623</v>
      </c>
      <c r="C864" s="4" t="str" cm="1">
        <f t="array" aca="1" ref="C864" ca="1">INDEX({"Cochin";"Delhi";"Mumbai";"Pune";"Bengaluru"}, RANDBETWEEN(1,5))</f>
        <v>Pune</v>
      </c>
      <c r="D864" s="4" t="str" cm="1">
        <f t="array" aca="1" ref="D864" ca="1">INDEX({"C-Class";"E-Class";"S-Class";"GLA";"GLC";"GLE";"GLS";"EQB"}, RANDBETWEEN(1,8))</f>
        <v>GLE</v>
      </c>
      <c r="E864" s="4" t="str">
        <f t="shared" ca="1" si="118"/>
        <v>SUV</v>
      </c>
      <c r="F864" s="4">
        <f t="shared" ca="1" si="119"/>
        <v>1</v>
      </c>
      <c r="G864" s="8">
        <f t="shared" ca="1" si="120"/>
        <v>10437068</v>
      </c>
      <c r="H864" s="8">
        <f t="shared" ca="1" si="121"/>
        <v>10437068</v>
      </c>
      <c r="I864" s="8">
        <f t="shared" ca="1" si="122"/>
        <v>8349654.4000000004</v>
      </c>
      <c r="J864" s="8">
        <f t="shared" ca="1" si="123"/>
        <v>2087413.5999999996</v>
      </c>
      <c r="K864" s="6">
        <f t="shared" ca="1" si="124"/>
        <v>0.19999999999999996</v>
      </c>
      <c r="L864" s="4" t="str" cm="1">
        <f t="array" aca="1" ref="L86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64" s="8">
        <f t="shared" ca="1" si="125"/>
        <v>18214</v>
      </c>
      <c r="N864" s="4" t="str" cm="1">
        <f t="array" aca="1" ref="N864" ca="1">INDEX({"New";"Repeat"}, RANDBETWEEN(1,2))</f>
        <v>New</v>
      </c>
      <c r="O864" s="4" t="str" cm="1">
        <f t="array" aca="1" ref="O864" ca="1">INDEX({"Loan";"Cash";"Lease"}, RANDBETWEEN(1,3))</f>
        <v>Lease</v>
      </c>
    </row>
    <row r="865" spans="1:15" x14ac:dyDescent="0.2">
      <c r="A865" s="4">
        <v>863</v>
      </c>
      <c r="B865" s="5">
        <f t="shared" ca="1" si="117"/>
        <v>45343</v>
      </c>
      <c r="C865" s="4" t="str" cm="1">
        <f t="array" aca="1" ref="C865" ca="1">INDEX({"Cochin";"Delhi";"Mumbai";"Pune";"Bengaluru"}, RANDBETWEEN(1,5))</f>
        <v>Cochin</v>
      </c>
      <c r="D865" s="4" t="str" cm="1">
        <f t="array" aca="1" ref="D865" ca="1">INDEX({"C-Class";"E-Class";"S-Class";"GLA";"GLC";"GLE";"GLS";"EQB"}, RANDBETWEEN(1,8))</f>
        <v>GLS</v>
      </c>
      <c r="E865" s="4" t="str">
        <f t="shared" ca="1" si="118"/>
        <v>SUV</v>
      </c>
      <c r="F865" s="4">
        <f t="shared" ca="1" si="119"/>
        <v>2</v>
      </c>
      <c r="G865" s="8">
        <f t="shared" ca="1" si="120"/>
        <v>13058580</v>
      </c>
      <c r="H865" s="8">
        <f t="shared" ca="1" si="121"/>
        <v>26117160</v>
      </c>
      <c r="I865" s="8">
        <f t="shared" ca="1" si="122"/>
        <v>21416071.199999999</v>
      </c>
      <c r="J865" s="8">
        <f t="shared" ca="1" si="123"/>
        <v>4701088.8000000007</v>
      </c>
      <c r="K865" s="6">
        <f t="shared" ca="1" si="124"/>
        <v>0.18000000000000002</v>
      </c>
      <c r="L865" s="4" t="str" cm="1">
        <f t="array" aca="1" ref="L86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65" s="8">
        <f t="shared" ca="1" si="125"/>
        <v>24739</v>
      </c>
      <c r="N865" s="4" t="str" cm="1">
        <f t="array" aca="1" ref="N865" ca="1">INDEX({"New";"Repeat"}, RANDBETWEEN(1,2))</f>
        <v>New</v>
      </c>
      <c r="O865" s="4" t="str" cm="1">
        <f t="array" aca="1" ref="O865" ca="1">INDEX({"Loan";"Cash";"Lease"}, RANDBETWEEN(1,3))</f>
        <v>Loan</v>
      </c>
    </row>
    <row r="866" spans="1:15" x14ac:dyDescent="0.2">
      <c r="A866" s="4">
        <v>864</v>
      </c>
      <c r="B866" s="5">
        <f t="shared" ca="1" si="117"/>
        <v>45675</v>
      </c>
      <c r="C866" s="4" t="str" cm="1">
        <f t="array" aca="1" ref="C866" ca="1">INDEX({"Cochin";"Delhi";"Mumbai";"Pune";"Bengaluru"}, RANDBETWEEN(1,5))</f>
        <v>Mumbai</v>
      </c>
      <c r="D866" s="4" t="str" cm="1">
        <f t="array" aca="1" ref="D866" ca="1">INDEX({"C-Class";"E-Class";"S-Class";"GLA";"GLC";"GLE";"GLS";"EQB"}, RANDBETWEEN(1,8))</f>
        <v>S-Class</v>
      </c>
      <c r="E866" s="4" t="str">
        <f t="shared" ca="1" si="118"/>
        <v>Sedan</v>
      </c>
      <c r="F866" s="4">
        <f t="shared" ca="1" si="119"/>
        <v>1</v>
      </c>
      <c r="G866" s="8">
        <f t="shared" ca="1" si="120"/>
        <v>16091238</v>
      </c>
      <c r="H866" s="8">
        <f t="shared" ca="1" si="121"/>
        <v>16091238</v>
      </c>
      <c r="I866" s="8">
        <f t="shared" ca="1" si="122"/>
        <v>12068428.5</v>
      </c>
      <c r="J866" s="8">
        <f t="shared" ca="1" si="123"/>
        <v>4022809.5</v>
      </c>
      <c r="K866" s="6">
        <f t="shared" ca="1" si="124"/>
        <v>0.25</v>
      </c>
      <c r="L866" s="4" t="str" cm="1">
        <f t="array" aca="1" ref="L866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66" s="8">
        <f t="shared" ca="1" si="125"/>
        <v>7024</v>
      </c>
      <c r="N866" s="4" t="str" cm="1">
        <f t="array" aca="1" ref="N866" ca="1">INDEX({"New";"Repeat"}, RANDBETWEEN(1,2))</f>
        <v>Repeat</v>
      </c>
      <c r="O866" s="4" t="str" cm="1">
        <f t="array" aca="1" ref="O866" ca="1">INDEX({"Loan";"Cash";"Lease"}, RANDBETWEEN(1,3))</f>
        <v>Lease</v>
      </c>
    </row>
    <row r="867" spans="1:15" x14ac:dyDescent="0.2">
      <c r="A867" s="4">
        <v>865</v>
      </c>
      <c r="B867" s="5">
        <f t="shared" ca="1" si="117"/>
        <v>45828</v>
      </c>
      <c r="C867" s="4" t="str" cm="1">
        <f t="array" aca="1" ref="C867" ca="1">INDEX({"Cochin";"Delhi";"Mumbai";"Pune";"Bengaluru"}, RANDBETWEEN(1,5))</f>
        <v>Pune</v>
      </c>
      <c r="D867" s="4" t="str" cm="1">
        <f t="array" aca="1" ref="D867" ca="1">INDEX({"C-Class";"E-Class";"S-Class";"GLA";"GLC";"GLE";"GLS";"EQB"}, RANDBETWEEN(1,8))</f>
        <v>GLS</v>
      </c>
      <c r="E867" s="4" t="str">
        <f t="shared" ca="1" si="118"/>
        <v>SUV</v>
      </c>
      <c r="F867" s="4">
        <f t="shared" ca="1" si="119"/>
        <v>2</v>
      </c>
      <c r="G867" s="8">
        <f t="shared" ca="1" si="120"/>
        <v>16797377</v>
      </c>
      <c r="H867" s="8">
        <f t="shared" ca="1" si="121"/>
        <v>33594754</v>
      </c>
      <c r="I867" s="8">
        <f t="shared" ca="1" si="122"/>
        <v>26875803.199999999</v>
      </c>
      <c r="J867" s="8">
        <f t="shared" ca="1" si="123"/>
        <v>6718950.8000000007</v>
      </c>
      <c r="K867" s="6">
        <f t="shared" ca="1" si="124"/>
        <v>0.2</v>
      </c>
      <c r="L867" s="4" t="str" cm="1">
        <f t="array" aca="1" ref="L86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67" s="8">
        <f t="shared" ca="1" si="125"/>
        <v>6834</v>
      </c>
      <c r="N867" s="4" t="str" cm="1">
        <f t="array" aca="1" ref="N867" ca="1">INDEX({"New";"Repeat"}, RANDBETWEEN(1,2))</f>
        <v>Repeat</v>
      </c>
      <c r="O867" s="4" t="str" cm="1">
        <f t="array" aca="1" ref="O867" ca="1">INDEX({"Loan";"Cash";"Lease"}, RANDBETWEEN(1,3))</f>
        <v>Loan</v>
      </c>
    </row>
    <row r="868" spans="1:15" x14ac:dyDescent="0.2">
      <c r="A868" s="4">
        <v>866</v>
      </c>
      <c r="B868" s="5">
        <f t="shared" ca="1" si="117"/>
        <v>45899</v>
      </c>
      <c r="C868" s="4" t="str" cm="1">
        <f t="array" aca="1" ref="C868" ca="1">INDEX({"Cochin";"Delhi";"Mumbai";"Pune";"Bengaluru"}, RANDBETWEEN(1,5))</f>
        <v>Bengaluru</v>
      </c>
      <c r="D868" s="4" t="str" cm="1">
        <f t="array" aca="1" ref="D868" ca="1">INDEX({"C-Class";"E-Class";"S-Class";"GLA";"GLC";"GLE";"GLS";"EQB"}, RANDBETWEEN(1,8))</f>
        <v>EQB</v>
      </c>
      <c r="E868" s="4" t="str">
        <f t="shared" ca="1" si="118"/>
        <v>EV</v>
      </c>
      <c r="F868" s="4">
        <f t="shared" ca="1" si="119"/>
        <v>2</v>
      </c>
      <c r="G868" s="8">
        <f t="shared" ca="1" si="120"/>
        <v>7730281</v>
      </c>
      <c r="H868" s="8">
        <f t="shared" ca="1" si="121"/>
        <v>15460562</v>
      </c>
      <c r="I868" s="8">
        <f t="shared" ca="1" si="122"/>
        <v>13141477.699999999</v>
      </c>
      <c r="J868" s="8">
        <f t="shared" ca="1" si="123"/>
        <v>2319084.3000000007</v>
      </c>
      <c r="K868" s="6">
        <f t="shared" ca="1" si="124"/>
        <v>0.15000000000000005</v>
      </c>
      <c r="L868" s="4" t="str" cm="1">
        <f t="array" aca="1" ref="L868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68" s="8">
        <f t="shared" ca="1" si="125"/>
        <v>5468</v>
      </c>
      <c r="N868" s="4" t="str" cm="1">
        <f t="array" aca="1" ref="N868" ca="1">INDEX({"New";"Repeat"}, RANDBETWEEN(1,2))</f>
        <v>Repeat</v>
      </c>
      <c r="O868" s="4" t="str" cm="1">
        <f t="array" aca="1" ref="O868" ca="1">INDEX({"Loan";"Cash";"Lease"}, RANDBETWEEN(1,3))</f>
        <v>Lease</v>
      </c>
    </row>
    <row r="869" spans="1:15" x14ac:dyDescent="0.2">
      <c r="A869" s="4">
        <v>867</v>
      </c>
      <c r="B869" s="5">
        <f t="shared" ca="1" si="117"/>
        <v>45227</v>
      </c>
      <c r="C869" s="4" t="str" cm="1">
        <f t="array" aca="1" ref="C869" ca="1">INDEX({"Cochin";"Delhi";"Mumbai";"Pune";"Bengaluru"}, RANDBETWEEN(1,5))</f>
        <v>Pune</v>
      </c>
      <c r="D869" s="4" t="str" cm="1">
        <f t="array" aca="1" ref="D869" ca="1">INDEX({"C-Class";"E-Class";"S-Class";"GLA";"GLC";"GLE";"GLS";"EQB"}, RANDBETWEEN(1,8))</f>
        <v>E-Class</v>
      </c>
      <c r="E869" s="4" t="str">
        <f t="shared" ca="1" si="118"/>
        <v>Sedan</v>
      </c>
      <c r="F869" s="4">
        <f t="shared" ca="1" si="119"/>
        <v>5</v>
      </c>
      <c r="G869" s="8">
        <f t="shared" ca="1" si="120"/>
        <v>9309452</v>
      </c>
      <c r="H869" s="8">
        <f t="shared" ca="1" si="121"/>
        <v>46547260</v>
      </c>
      <c r="I869" s="8">
        <f t="shared" ca="1" si="122"/>
        <v>34444972.399999999</v>
      </c>
      <c r="J869" s="8">
        <f t="shared" ca="1" si="123"/>
        <v>12102287.600000001</v>
      </c>
      <c r="K869" s="6">
        <f t="shared" ca="1" si="124"/>
        <v>0.26</v>
      </c>
      <c r="L869" s="4" t="str" cm="1">
        <f t="array" aca="1" ref="L86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69" s="8">
        <f t="shared" ca="1" si="125"/>
        <v>5838</v>
      </c>
      <c r="N869" s="4" t="str" cm="1">
        <f t="array" aca="1" ref="N869" ca="1">INDEX({"New";"Repeat"}, RANDBETWEEN(1,2))</f>
        <v>Repeat</v>
      </c>
      <c r="O869" s="4" t="str" cm="1">
        <f t="array" aca="1" ref="O869" ca="1">INDEX({"Loan";"Cash";"Lease"}, RANDBETWEEN(1,3))</f>
        <v>Loan</v>
      </c>
    </row>
    <row r="870" spans="1:15" x14ac:dyDescent="0.2">
      <c r="A870" s="4">
        <v>868</v>
      </c>
      <c r="B870" s="5">
        <f t="shared" ca="1" si="117"/>
        <v>45343</v>
      </c>
      <c r="C870" s="4" t="str" cm="1">
        <f t="array" aca="1" ref="C870" ca="1">INDEX({"Cochin";"Delhi";"Mumbai";"Pune";"Bengaluru"}, RANDBETWEEN(1,5))</f>
        <v>Delhi</v>
      </c>
      <c r="D870" s="4" t="str" cm="1">
        <f t="array" aca="1" ref="D870" ca="1">INDEX({"C-Class";"E-Class";"S-Class";"GLA";"GLC";"GLE";"GLS";"EQB"}, RANDBETWEEN(1,8))</f>
        <v>GLA</v>
      </c>
      <c r="E870" s="4" t="str">
        <f t="shared" ca="1" si="118"/>
        <v>SUV</v>
      </c>
      <c r="F870" s="4">
        <f t="shared" ca="1" si="119"/>
        <v>5</v>
      </c>
      <c r="G870" s="8">
        <f t="shared" ca="1" si="120"/>
        <v>5052382</v>
      </c>
      <c r="H870" s="8">
        <f t="shared" ca="1" si="121"/>
        <v>25261910</v>
      </c>
      <c r="I870" s="8">
        <f t="shared" ca="1" si="122"/>
        <v>20209528</v>
      </c>
      <c r="J870" s="8">
        <f t="shared" ca="1" si="123"/>
        <v>5052382</v>
      </c>
      <c r="K870" s="6">
        <f t="shared" ca="1" si="124"/>
        <v>0.2</v>
      </c>
      <c r="L870" s="4" t="str" cm="1">
        <f t="array" aca="1" ref="L87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70" s="8">
        <f t="shared" ca="1" si="125"/>
        <v>11170</v>
      </c>
      <c r="N870" s="4" t="str" cm="1">
        <f t="array" aca="1" ref="N870" ca="1">INDEX({"New";"Repeat"}, RANDBETWEEN(1,2))</f>
        <v>New</v>
      </c>
      <c r="O870" s="4" t="str" cm="1">
        <f t="array" aca="1" ref="O870" ca="1">INDEX({"Loan";"Cash";"Lease"}, RANDBETWEEN(1,3))</f>
        <v>Cash</v>
      </c>
    </row>
    <row r="871" spans="1:15" x14ac:dyDescent="0.2">
      <c r="A871" s="4">
        <v>869</v>
      </c>
      <c r="B871" s="5">
        <f t="shared" ca="1" si="117"/>
        <v>45841</v>
      </c>
      <c r="C871" s="4" t="str" cm="1">
        <f t="array" aca="1" ref="C871" ca="1">INDEX({"Cochin";"Delhi";"Mumbai";"Pune";"Bengaluru"}, RANDBETWEEN(1,5))</f>
        <v>Cochin</v>
      </c>
      <c r="D871" s="4" t="str" cm="1">
        <f t="array" aca="1" ref="D871" ca="1">INDEX({"C-Class";"E-Class";"S-Class";"GLA";"GLC";"GLE";"GLS";"EQB"}, RANDBETWEEN(1,8))</f>
        <v>EQB</v>
      </c>
      <c r="E871" s="4" t="str">
        <f t="shared" ca="1" si="118"/>
        <v>EV</v>
      </c>
      <c r="F871" s="4">
        <f t="shared" ca="1" si="119"/>
        <v>1</v>
      </c>
      <c r="G871" s="8">
        <f t="shared" ca="1" si="120"/>
        <v>7435355</v>
      </c>
      <c r="H871" s="8">
        <f t="shared" ca="1" si="121"/>
        <v>7435355</v>
      </c>
      <c r="I871" s="8">
        <f t="shared" ca="1" si="122"/>
        <v>5725223.3499999996</v>
      </c>
      <c r="J871" s="8">
        <f t="shared" ca="1" si="123"/>
        <v>1710131.6500000004</v>
      </c>
      <c r="K871" s="6">
        <f t="shared" ca="1" si="124"/>
        <v>0.23000000000000004</v>
      </c>
      <c r="L871" s="4" t="str" cm="1">
        <f t="array" aca="1" ref="L871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871" s="8">
        <f t="shared" ca="1" si="125"/>
        <v>21296</v>
      </c>
      <c r="N871" s="4" t="str" cm="1">
        <f t="array" aca="1" ref="N871" ca="1">INDEX({"New";"Repeat"}, RANDBETWEEN(1,2))</f>
        <v>New</v>
      </c>
      <c r="O871" s="4" t="str" cm="1">
        <f t="array" aca="1" ref="O871" ca="1">INDEX({"Loan";"Cash";"Lease"}, RANDBETWEEN(1,3))</f>
        <v>Lease</v>
      </c>
    </row>
    <row r="872" spans="1:15" x14ac:dyDescent="0.2">
      <c r="A872" s="4">
        <v>870</v>
      </c>
      <c r="B872" s="5">
        <f t="shared" ca="1" si="117"/>
        <v>45815</v>
      </c>
      <c r="C872" s="4" t="str" cm="1">
        <f t="array" aca="1" ref="C872" ca="1">INDEX({"Cochin";"Delhi";"Mumbai";"Pune";"Bengaluru"}, RANDBETWEEN(1,5))</f>
        <v>Bengaluru</v>
      </c>
      <c r="D872" s="4" t="str" cm="1">
        <f t="array" aca="1" ref="D872" ca="1">INDEX({"C-Class";"E-Class";"S-Class";"GLA";"GLC";"GLE";"GLS";"EQB"}, RANDBETWEEN(1,8))</f>
        <v>S-Class</v>
      </c>
      <c r="E872" s="4" t="str">
        <f t="shared" ca="1" si="118"/>
        <v>Sedan</v>
      </c>
      <c r="F872" s="4">
        <f t="shared" ca="1" si="119"/>
        <v>5</v>
      </c>
      <c r="G872" s="8">
        <f t="shared" ca="1" si="120"/>
        <v>24121810</v>
      </c>
      <c r="H872" s="8">
        <f t="shared" ca="1" si="121"/>
        <v>120609050</v>
      </c>
      <c r="I872" s="8">
        <f t="shared" ca="1" si="122"/>
        <v>98899421</v>
      </c>
      <c r="J872" s="8">
        <f t="shared" ca="1" si="123"/>
        <v>21709629</v>
      </c>
      <c r="K872" s="6">
        <f t="shared" ca="1" si="124"/>
        <v>0.18</v>
      </c>
      <c r="L872" s="4" t="str" cm="1">
        <f t="array" aca="1" ref="L87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72" s="8">
        <f t="shared" ca="1" si="125"/>
        <v>5901</v>
      </c>
      <c r="N872" s="4" t="str" cm="1">
        <f t="array" aca="1" ref="N872" ca="1">INDEX({"New";"Repeat"}, RANDBETWEEN(1,2))</f>
        <v>Repeat</v>
      </c>
      <c r="O872" s="4" t="str" cm="1">
        <f t="array" aca="1" ref="O872" ca="1">INDEX({"Loan";"Cash";"Lease"}, RANDBETWEEN(1,3))</f>
        <v>Lease</v>
      </c>
    </row>
    <row r="873" spans="1:15" x14ac:dyDescent="0.2">
      <c r="A873" s="4">
        <v>871</v>
      </c>
      <c r="B873" s="5">
        <f t="shared" ca="1" si="117"/>
        <v>44927</v>
      </c>
      <c r="C873" s="4" t="str" cm="1">
        <f t="array" aca="1" ref="C873" ca="1">INDEX({"Cochin";"Delhi";"Mumbai";"Pune";"Bengaluru"}, RANDBETWEEN(1,5))</f>
        <v>Mumbai</v>
      </c>
      <c r="D873" s="4" t="str" cm="1">
        <f t="array" aca="1" ref="D873" ca="1">INDEX({"C-Class";"E-Class";"S-Class";"GLA";"GLC";"GLE";"GLS";"EQB"}, RANDBETWEEN(1,8))</f>
        <v>C-Class</v>
      </c>
      <c r="E873" s="4" t="str">
        <f t="shared" ca="1" si="118"/>
        <v>Sedan</v>
      </c>
      <c r="F873" s="4">
        <f t="shared" ca="1" si="119"/>
        <v>5</v>
      </c>
      <c r="G873" s="8">
        <f t="shared" ca="1" si="120"/>
        <v>6757399</v>
      </c>
      <c r="H873" s="8">
        <f t="shared" ca="1" si="121"/>
        <v>33786995</v>
      </c>
      <c r="I873" s="8">
        <f t="shared" ca="1" si="122"/>
        <v>25002376.300000001</v>
      </c>
      <c r="J873" s="8">
        <f t="shared" ca="1" si="123"/>
        <v>8784618.6999999993</v>
      </c>
      <c r="K873" s="6">
        <f t="shared" ca="1" si="124"/>
        <v>0.25999999999999995</v>
      </c>
      <c r="L873" s="4" t="str" cm="1">
        <f t="array" aca="1" ref="L873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73" s="8">
        <f t="shared" ca="1" si="125"/>
        <v>14074</v>
      </c>
      <c r="N873" s="4" t="str" cm="1">
        <f t="array" aca="1" ref="N873" ca="1">INDEX({"New";"Repeat"}, RANDBETWEEN(1,2))</f>
        <v>New</v>
      </c>
      <c r="O873" s="4" t="str" cm="1">
        <f t="array" aca="1" ref="O873" ca="1">INDEX({"Loan";"Cash";"Lease"}, RANDBETWEEN(1,3))</f>
        <v>Lease</v>
      </c>
    </row>
    <row r="874" spans="1:15" x14ac:dyDescent="0.2">
      <c r="A874" s="4">
        <v>872</v>
      </c>
      <c r="B874" s="5">
        <f t="shared" ca="1" si="117"/>
        <v>45597</v>
      </c>
      <c r="C874" s="4" t="str" cm="1">
        <f t="array" aca="1" ref="C874" ca="1">INDEX({"Cochin";"Delhi";"Mumbai";"Pune";"Bengaluru"}, RANDBETWEEN(1,5))</f>
        <v>Mumbai</v>
      </c>
      <c r="D874" s="4" t="str" cm="1">
        <f t="array" aca="1" ref="D874" ca="1">INDEX({"C-Class";"E-Class";"S-Class";"GLA";"GLC";"GLE";"GLS";"EQB"}, RANDBETWEEN(1,8))</f>
        <v>GLA</v>
      </c>
      <c r="E874" s="4" t="str">
        <f t="shared" ca="1" si="118"/>
        <v>SUV</v>
      </c>
      <c r="F874" s="4">
        <f t="shared" ca="1" si="119"/>
        <v>4</v>
      </c>
      <c r="G874" s="8">
        <f t="shared" ca="1" si="120"/>
        <v>4640661</v>
      </c>
      <c r="H874" s="8">
        <f t="shared" ca="1" si="121"/>
        <v>18562644</v>
      </c>
      <c r="I874" s="8">
        <f t="shared" ca="1" si="122"/>
        <v>14107609.439999999</v>
      </c>
      <c r="J874" s="8">
        <f t="shared" ca="1" si="123"/>
        <v>4455034.5600000005</v>
      </c>
      <c r="K874" s="6">
        <f t="shared" ca="1" si="124"/>
        <v>0.24000000000000002</v>
      </c>
      <c r="L874" s="4" t="str" cm="1">
        <f t="array" aca="1" ref="L87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74" s="8">
        <f t="shared" ca="1" si="125"/>
        <v>23136</v>
      </c>
      <c r="N874" s="4" t="str" cm="1">
        <f t="array" aca="1" ref="N874" ca="1">INDEX({"New";"Repeat"}, RANDBETWEEN(1,2))</f>
        <v>New</v>
      </c>
      <c r="O874" s="4" t="str" cm="1">
        <f t="array" aca="1" ref="O874" ca="1">INDEX({"Loan";"Cash";"Lease"}, RANDBETWEEN(1,3))</f>
        <v>Loan</v>
      </c>
    </row>
    <row r="875" spans="1:15" x14ac:dyDescent="0.2">
      <c r="A875" s="4">
        <v>873</v>
      </c>
      <c r="B875" s="5">
        <f t="shared" ca="1" si="117"/>
        <v>45452</v>
      </c>
      <c r="C875" s="4" t="str" cm="1">
        <f t="array" aca="1" ref="C875" ca="1">INDEX({"Cochin";"Delhi";"Mumbai";"Pune";"Bengaluru"}, RANDBETWEEN(1,5))</f>
        <v>Pune</v>
      </c>
      <c r="D875" s="4" t="str" cm="1">
        <f t="array" aca="1" ref="D875" ca="1">INDEX({"C-Class";"E-Class";"S-Class";"GLA";"GLC";"GLE";"GLS";"EQB"}, RANDBETWEEN(1,8))</f>
        <v>C-Class</v>
      </c>
      <c r="E875" s="4" t="str">
        <f t="shared" ca="1" si="118"/>
        <v>Sedan</v>
      </c>
      <c r="F875" s="4">
        <f t="shared" ca="1" si="119"/>
        <v>5</v>
      </c>
      <c r="G875" s="8">
        <f t="shared" ca="1" si="120"/>
        <v>6976914</v>
      </c>
      <c r="H875" s="8">
        <f t="shared" ca="1" si="121"/>
        <v>34884570</v>
      </c>
      <c r="I875" s="8">
        <f t="shared" ca="1" si="122"/>
        <v>26861118.899999999</v>
      </c>
      <c r="J875" s="8">
        <f t="shared" ca="1" si="123"/>
        <v>8023451.1000000015</v>
      </c>
      <c r="K875" s="6">
        <f t="shared" ca="1" si="124"/>
        <v>0.23000000000000004</v>
      </c>
      <c r="L875" s="4" t="str" cm="1">
        <f t="array" aca="1" ref="L87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75" s="8">
        <f t="shared" ca="1" si="125"/>
        <v>23811</v>
      </c>
      <c r="N875" s="4" t="str" cm="1">
        <f t="array" aca="1" ref="N875" ca="1">INDEX({"New";"Repeat"}, RANDBETWEEN(1,2))</f>
        <v>New</v>
      </c>
      <c r="O875" s="4" t="str" cm="1">
        <f t="array" aca="1" ref="O875" ca="1">INDEX({"Loan";"Cash";"Lease"}, RANDBETWEEN(1,3))</f>
        <v>Cash</v>
      </c>
    </row>
    <row r="876" spans="1:15" x14ac:dyDescent="0.2">
      <c r="A876" s="4">
        <v>874</v>
      </c>
      <c r="B876" s="5">
        <f t="shared" ca="1" si="117"/>
        <v>45413</v>
      </c>
      <c r="C876" s="4" t="str" cm="1">
        <f t="array" aca="1" ref="C876" ca="1">INDEX({"Cochin";"Delhi";"Mumbai";"Pune";"Bengaluru"}, RANDBETWEEN(1,5))</f>
        <v>Pune</v>
      </c>
      <c r="D876" s="4" t="str" cm="1">
        <f t="array" aca="1" ref="D876" ca="1">INDEX({"C-Class";"E-Class";"S-Class";"GLA";"GLC";"GLE";"GLS";"EQB"}, RANDBETWEEN(1,8))</f>
        <v>S-Class</v>
      </c>
      <c r="E876" s="4" t="str">
        <f t="shared" ca="1" si="118"/>
        <v>Sedan</v>
      </c>
      <c r="F876" s="4">
        <f t="shared" ca="1" si="119"/>
        <v>3</v>
      </c>
      <c r="G876" s="8">
        <f t="shared" ca="1" si="120"/>
        <v>17736503</v>
      </c>
      <c r="H876" s="8">
        <f t="shared" ca="1" si="121"/>
        <v>53209509</v>
      </c>
      <c r="I876" s="8">
        <f t="shared" ca="1" si="122"/>
        <v>43631797.380000003</v>
      </c>
      <c r="J876" s="8">
        <f t="shared" ca="1" si="123"/>
        <v>9577711.6199999973</v>
      </c>
      <c r="K876" s="6">
        <f t="shared" ca="1" si="124"/>
        <v>0.17999999999999994</v>
      </c>
      <c r="L876" s="4" t="str" cm="1">
        <f t="array" aca="1" ref="L876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76" s="8">
        <f t="shared" ca="1" si="125"/>
        <v>19751</v>
      </c>
      <c r="N876" s="4" t="str" cm="1">
        <f t="array" aca="1" ref="N876" ca="1">INDEX({"New";"Repeat"}, RANDBETWEEN(1,2))</f>
        <v>New</v>
      </c>
      <c r="O876" s="4" t="str" cm="1">
        <f t="array" aca="1" ref="O876" ca="1">INDEX({"Loan";"Cash";"Lease"}, RANDBETWEEN(1,3))</f>
        <v>Loan</v>
      </c>
    </row>
    <row r="877" spans="1:15" x14ac:dyDescent="0.2">
      <c r="A877" s="4">
        <v>875</v>
      </c>
      <c r="B877" s="5">
        <f t="shared" ca="1" si="117"/>
        <v>45552</v>
      </c>
      <c r="C877" s="4" t="str" cm="1">
        <f t="array" aca="1" ref="C877" ca="1">INDEX({"Cochin";"Delhi";"Mumbai";"Pune";"Bengaluru"}, RANDBETWEEN(1,5))</f>
        <v>Delhi</v>
      </c>
      <c r="D877" s="4" t="str" cm="1">
        <f t="array" aca="1" ref="D877" ca="1">INDEX({"C-Class";"E-Class";"S-Class";"GLA";"GLC";"GLE";"GLS";"EQB"}, RANDBETWEEN(1,8))</f>
        <v>C-Class</v>
      </c>
      <c r="E877" s="4" t="str">
        <f t="shared" ca="1" si="118"/>
        <v>Sedan</v>
      </c>
      <c r="F877" s="4">
        <f t="shared" ca="1" si="119"/>
        <v>3</v>
      </c>
      <c r="G877" s="8">
        <f t="shared" ca="1" si="120"/>
        <v>6573703</v>
      </c>
      <c r="H877" s="8">
        <f t="shared" ca="1" si="121"/>
        <v>19721109</v>
      </c>
      <c r="I877" s="8">
        <f t="shared" ca="1" si="122"/>
        <v>16171309.380000001</v>
      </c>
      <c r="J877" s="8">
        <f t="shared" ca="1" si="123"/>
        <v>3549799.6199999992</v>
      </c>
      <c r="K877" s="6">
        <f t="shared" ca="1" si="124"/>
        <v>0.17999999999999997</v>
      </c>
      <c r="L877" s="4" t="str" cm="1">
        <f t="array" aca="1" ref="L877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77" s="8">
        <f t="shared" ca="1" si="125"/>
        <v>7317</v>
      </c>
      <c r="N877" s="4" t="str" cm="1">
        <f t="array" aca="1" ref="N877" ca="1">INDEX({"New";"Repeat"}, RANDBETWEEN(1,2))</f>
        <v>Repeat</v>
      </c>
      <c r="O877" s="4" t="str" cm="1">
        <f t="array" aca="1" ref="O877" ca="1">INDEX({"Loan";"Cash";"Lease"}, RANDBETWEEN(1,3))</f>
        <v>Loan</v>
      </c>
    </row>
    <row r="878" spans="1:15" x14ac:dyDescent="0.2">
      <c r="A878" s="4">
        <v>876</v>
      </c>
      <c r="B878" s="5">
        <f t="shared" ca="1" si="117"/>
        <v>45522</v>
      </c>
      <c r="C878" s="4" t="str" cm="1">
        <f t="array" aca="1" ref="C878" ca="1">INDEX({"Cochin";"Delhi";"Mumbai";"Pune";"Bengaluru"}, RANDBETWEEN(1,5))</f>
        <v>Delhi</v>
      </c>
      <c r="D878" s="4" t="str" cm="1">
        <f t="array" aca="1" ref="D878" ca="1">INDEX({"C-Class";"E-Class";"S-Class";"GLA";"GLC";"GLE";"GLS";"EQB"}, RANDBETWEEN(1,8))</f>
        <v>GLA</v>
      </c>
      <c r="E878" s="4" t="str">
        <f t="shared" ca="1" si="118"/>
        <v>SUV</v>
      </c>
      <c r="F878" s="4">
        <f t="shared" ca="1" si="119"/>
        <v>2</v>
      </c>
      <c r="G878" s="8">
        <f t="shared" ca="1" si="120"/>
        <v>4945730</v>
      </c>
      <c r="H878" s="8">
        <f t="shared" ca="1" si="121"/>
        <v>9891460</v>
      </c>
      <c r="I878" s="8">
        <f t="shared" ca="1" si="122"/>
        <v>7517509.5999999996</v>
      </c>
      <c r="J878" s="8">
        <f t="shared" ca="1" si="123"/>
        <v>2373950.4000000004</v>
      </c>
      <c r="K878" s="6">
        <f t="shared" ca="1" si="124"/>
        <v>0.24000000000000005</v>
      </c>
      <c r="L878" s="4" t="str" cm="1">
        <f t="array" aca="1" ref="L878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78" s="8">
        <f t="shared" ca="1" si="125"/>
        <v>4081</v>
      </c>
      <c r="N878" s="4" t="str" cm="1">
        <f t="array" aca="1" ref="N878" ca="1">INDEX({"New";"Repeat"}, RANDBETWEEN(1,2))</f>
        <v>Repeat</v>
      </c>
      <c r="O878" s="4" t="str" cm="1">
        <f t="array" aca="1" ref="O878" ca="1">INDEX({"Loan";"Cash";"Lease"}, RANDBETWEEN(1,3))</f>
        <v>Cash</v>
      </c>
    </row>
    <row r="879" spans="1:15" x14ac:dyDescent="0.2">
      <c r="A879" s="4">
        <v>877</v>
      </c>
      <c r="B879" s="5">
        <f t="shared" ca="1" si="117"/>
        <v>45730</v>
      </c>
      <c r="C879" s="4" t="str" cm="1">
        <f t="array" aca="1" ref="C879" ca="1">INDEX({"Cochin";"Delhi";"Mumbai";"Pune";"Bengaluru"}, RANDBETWEEN(1,5))</f>
        <v>Pune</v>
      </c>
      <c r="D879" s="4" t="str" cm="1">
        <f t="array" aca="1" ref="D879" ca="1">INDEX({"C-Class";"E-Class";"S-Class";"GLA";"GLC";"GLE";"GLS";"EQB"}, RANDBETWEEN(1,8))</f>
        <v>S-Class</v>
      </c>
      <c r="E879" s="4" t="str">
        <f t="shared" ca="1" si="118"/>
        <v>Sedan</v>
      </c>
      <c r="F879" s="4">
        <f t="shared" ca="1" si="119"/>
        <v>1</v>
      </c>
      <c r="G879" s="8">
        <f t="shared" ca="1" si="120"/>
        <v>19080054</v>
      </c>
      <c r="H879" s="8">
        <f t="shared" ca="1" si="121"/>
        <v>19080054</v>
      </c>
      <c r="I879" s="8">
        <f t="shared" ca="1" si="122"/>
        <v>15264043.199999999</v>
      </c>
      <c r="J879" s="8">
        <f t="shared" ca="1" si="123"/>
        <v>3816010.8000000007</v>
      </c>
      <c r="K879" s="6">
        <f t="shared" ca="1" si="124"/>
        <v>0.20000000000000004</v>
      </c>
      <c r="L879" s="4" t="str" cm="1">
        <f t="array" aca="1" ref="L87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879" s="8">
        <f t="shared" ca="1" si="125"/>
        <v>10503</v>
      </c>
      <c r="N879" s="4" t="str" cm="1">
        <f t="array" aca="1" ref="N879" ca="1">INDEX({"New";"Repeat"}, RANDBETWEEN(1,2))</f>
        <v>New</v>
      </c>
      <c r="O879" s="4" t="str" cm="1">
        <f t="array" aca="1" ref="O879" ca="1">INDEX({"Loan";"Cash";"Lease"}, RANDBETWEEN(1,3))</f>
        <v>Cash</v>
      </c>
    </row>
    <row r="880" spans="1:15" x14ac:dyDescent="0.2">
      <c r="A880" s="4">
        <v>878</v>
      </c>
      <c r="B880" s="5">
        <f t="shared" ca="1" si="117"/>
        <v>45262</v>
      </c>
      <c r="C880" s="4" t="str" cm="1">
        <f t="array" aca="1" ref="C880" ca="1">INDEX({"Cochin";"Delhi";"Mumbai";"Pune";"Bengaluru"}, RANDBETWEEN(1,5))</f>
        <v>Mumbai</v>
      </c>
      <c r="D880" s="4" t="str" cm="1">
        <f t="array" aca="1" ref="D880" ca="1">INDEX({"C-Class";"E-Class";"S-Class";"GLA";"GLC";"GLE";"GLS";"EQB"}, RANDBETWEEN(1,8))</f>
        <v>GLC</v>
      </c>
      <c r="E880" s="4" t="str">
        <f t="shared" ca="1" si="118"/>
        <v>SUV</v>
      </c>
      <c r="F880" s="4">
        <f t="shared" ca="1" si="119"/>
        <v>4</v>
      </c>
      <c r="G880" s="8">
        <f t="shared" ca="1" si="120"/>
        <v>7093383</v>
      </c>
      <c r="H880" s="8">
        <f t="shared" ca="1" si="121"/>
        <v>28373532</v>
      </c>
      <c r="I880" s="8">
        <f t="shared" ca="1" si="122"/>
        <v>22698825.600000001</v>
      </c>
      <c r="J880" s="8">
        <f t="shared" ca="1" si="123"/>
        <v>5674706.3999999985</v>
      </c>
      <c r="K880" s="6">
        <f t="shared" ca="1" si="124"/>
        <v>0.19999999999999996</v>
      </c>
      <c r="L880" s="4" t="str" cm="1">
        <f t="array" aca="1" ref="L880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880" s="8">
        <f t="shared" ca="1" si="125"/>
        <v>16563</v>
      </c>
      <c r="N880" s="4" t="str" cm="1">
        <f t="array" aca="1" ref="N880" ca="1">INDEX({"New";"Repeat"}, RANDBETWEEN(1,2))</f>
        <v>New</v>
      </c>
      <c r="O880" s="4" t="str" cm="1">
        <f t="array" aca="1" ref="O880" ca="1">INDEX({"Loan";"Cash";"Lease"}, RANDBETWEEN(1,3))</f>
        <v>Loan</v>
      </c>
    </row>
    <row r="881" spans="1:15" x14ac:dyDescent="0.2">
      <c r="A881" s="4">
        <v>879</v>
      </c>
      <c r="B881" s="5">
        <f t="shared" ca="1" si="117"/>
        <v>45213</v>
      </c>
      <c r="C881" s="4" t="str" cm="1">
        <f t="array" aca="1" ref="C881" ca="1">INDEX({"Cochin";"Delhi";"Mumbai";"Pune";"Bengaluru"}, RANDBETWEEN(1,5))</f>
        <v>Bengaluru</v>
      </c>
      <c r="D881" s="4" t="str" cm="1">
        <f t="array" aca="1" ref="D881" ca="1">INDEX({"C-Class";"E-Class";"S-Class";"GLA";"GLC";"GLE";"GLS";"EQB"}, RANDBETWEEN(1,8))</f>
        <v>GLE</v>
      </c>
      <c r="E881" s="4" t="str">
        <f t="shared" ca="1" si="118"/>
        <v>SUV</v>
      </c>
      <c r="F881" s="4">
        <f t="shared" ca="1" si="119"/>
        <v>3</v>
      </c>
      <c r="G881" s="8">
        <f t="shared" ca="1" si="120"/>
        <v>11013262</v>
      </c>
      <c r="H881" s="8">
        <f t="shared" ca="1" si="121"/>
        <v>33039786</v>
      </c>
      <c r="I881" s="8">
        <f t="shared" ca="1" si="122"/>
        <v>25440635.219999999</v>
      </c>
      <c r="J881" s="8">
        <f t="shared" ca="1" si="123"/>
        <v>7599150.7800000012</v>
      </c>
      <c r="K881" s="6">
        <f t="shared" ca="1" si="124"/>
        <v>0.23000000000000004</v>
      </c>
      <c r="L881" s="4" t="str" cm="1">
        <f t="array" aca="1" ref="L881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881" s="8">
        <f t="shared" ca="1" si="125"/>
        <v>14281</v>
      </c>
      <c r="N881" s="4" t="str" cm="1">
        <f t="array" aca="1" ref="N881" ca="1">INDEX({"New";"Repeat"}, RANDBETWEEN(1,2))</f>
        <v>New</v>
      </c>
      <c r="O881" s="4" t="str" cm="1">
        <f t="array" aca="1" ref="O881" ca="1">INDEX({"Loan";"Cash";"Lease"}, RANDBETWEEN(1,3))</f>
        <v>Cash</v>
      </c>
    </row>
    <row r="882" spans="1:15" x14ac:dyDescent="0.2">
      <c r="A882" s="4">
        <v>880</v>
      </c>
      <c r="B882" s="5">
        <f t="shared" ca="1" si="117"/>
        <v>44928</v>
      </c>
      <c r="C882" s="4" t="str" cm="1">
        <f t="array" aca="1" ref="C882" ca="1">INDEX({"Cochin";"Delhi";"Mumbai";"Pune";"Bengaluru"}, RANDBETWEEN(1,5))</f>
        <v>Pune</v>
      </c>
      <c r="D882" s="4" t="str" cm="1">
        <f t="array" aca="1" ref="D882" ca="1">INDEX({"C-Class";"E-Class";"S-Class";"GLA";"GLC";"GLE";"GLS";"EQB"}, RANDBETWEEN(1,8))</f>
        <v>C-Class</v>
      </c>
      <c r="E882" s="4" t="str">
        <f t="shared" ca="1" si="118"/>
        <v>Sedan</v>
      </c>
      <c r="F882" s="4">
        <f t="shared" ca="1" si="119"/>
        <v>1</v>
      </c>
      <c r="G882" s="8">
        <f t="shared" ca="1" si="120"/>
        <v>5764207</v>
      </c>
      <c r="H882" s="8">
        <f t="shared" ca="1" si="121"/>
        <v>5764207</v>
      </c>
      <c r="I882" s="8">
        <f t="shared" ca="1" si="122"/>
        <v>4323155.25</v>
      </c>
      <c r="J882" s="8">
        <f t="shared" ca="1" si="123"/>
        <v>1441051.75</v>
      </c>
      <c r="K882" s="6">
        <f t="shared" ca="1" si="124"/>
        <v>0.25</v>
      </c>
      <c r="L882" s="4" t="str" cm="1">
        <f t="array" aca="1" ref="L882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82" s="8">
        <f t="shared" ca="1" si="125"/>
        <v>12575</v>
      </c>
      <c r="N882" s="4" t="str" cm="1">
        <f t="array" aca="1" ref="N882" ca="1">INDEX({"New";"Repeat"}, RANDBETWEEN(1,2))</f>
        <v>New</v>
      </c>
      <c r="O882" s="4" t="str" cm="1">
        <f t="array" aca="1" ref="O882" ca="1">INDEX({"Loan";"Cash";"Lease"}, RANDBETWEEN(1,3))</f>
        <v>Lease</v>
      </c>
    </row>
    <row r="883" spans="1:15" x14ac:dyDescent="0.2">
      <c r="A883" s="4">
        <v>881</v>
      </c>
      <c r="B883" s="5">
        <f t="shared" ca="1" si="117"/>
        <v>45332</v>
      </c>
      <c r="C883" s="4" t="str" cm="1">
        <f t="array" aca="1" ref="C883" ca="1">INDEX({"Cochin";"Delhi";"Mumbai";"Pune";"Bengaluru"}, RANDBETWEEN(1,5))</f>
        <v>Bengaluru</v>
      </c>
      <c r="D883" s="4" t="str" cm="1">
        <f t="array" aca="1" ref="D883" ca="1">INDEX({"C-Class";"E-Class";"S-Class";"GLA";"GLC";"GLE";"GLS";"EQB"}, RANDBETWEEN(1,8))</f>
        <v>EQB</v>
      </c>
      <c r="E883" s="4" t="str">
        <f t="shared" ca="1" si="118"/>
        <v>EV</v>
      </c>
      <c r="F883" s="4">
        <f t="shared" ca="1" si="119"/>
        <v>4</v>
      </c>
      <c r="G883" s="8">
        <f t="shared" ca="1" si="120"/>
        <v>7220948</v>
      </c>
      <c r="H883" s="8">
        <f t="shared" ca="1" si="121"/>
        <v>28883792</v>
      </c>
      <c r="I883" s="8">
        <f t="shared" ca="1" si="122"/>
        <v>21951681.920000002</v>
      </c>
      <c r="J883" s="8">
        <f t="shared" ca="1" si="123"/>
        <v>6932110.0799999982</v>
      </c>
      <c r="K883" s="6">
        <f t="shared" ca="1" si="124"/>
        <v>0.23999999999999994</v>
      </c>
      <c r="L883" s="4" t="str" cm="1">
        <f t="array" aca="1" ref="L88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83" s="8">
        <f t="shared" ca="1" si="125"/>
        <v>22111</v>
      </c>
      <c r="N883" s="4" t="str" cm="1">
        <f t="array" aca="1" ref="N883" ca="1">INDEX({"New";"Repeat"}, RANDBETWEEN(1,2))</f>
        <v>New</v>
      </c>
      <c r="O883" s="4" t="str" cm="1">
        <f t="array" aca="1" ref="O883" ca="1">INDEX({"Loan";"Cash";"Lease"}, RANDBETWEEN(1,3))</f>
        <v>Cash</v>
      </c>
    </row>
    <row r="884" spans="1:15" x14ac:dyDescent="0.2">
      <c r="A884" s="4">
        <v>882</v>
      </c>
      <c r="B884" s="5">
        <f t="shared" ca="1" si="117"/>
        <v>45127</v>
      </c>
      <c r="C884" s="4" t="str" cm="1">
        <f t="array" aca="1" ref="C884" ca="1">INDEX({"Cochin";"Delhi";"Mumbai";"Pune";"Bengaluru"}, RANDBETWEEN(1,5))</f>
        <v>Pune</v>
      </c>
      <c r="D884" s="4" t="str" cm="1">
        <f t="array" aca="1" ref="D884" ca="1">INDEX({"C-Class";"E-Class";"S-Class";"GLA";"GLC";"GLE";"GLS";"EQB"}, RANDBETWEEN(1,8))</f>
        <v>E-Class</v>
      </c>
      <c r="E884" s="4" t="str">
        <f t="shared" ca="1" si="118"/>
        <v>Sedan</v>
      </c>
      <c r="F884" s="4">
        <f t="shared" ca="1" si="119"/>
        <v>3</v>
      </c>
      <c r="G884" s="8">
        <f t="shared" ca="1" si="120"/>
        <v>8767253</v>
      </c>
      <c r="H884" s="8">
        <f t="shared" ca="1" si="121"/>
        <v>26301759</v>
      </c>
      <c r="I884" s="8">
        <f t="shared" ca="1" si="122"/>
        <v>21567442.379999999</v>
      </c>
      <c r="J884" s="8">
        <f t="shared" ca="1" si="123"/>
        <v>4734316.620000001</v>
      </c>
      <c r="K884" s="6">
        <f t="shared" ca="1" si="124"/>
        <v>0.18000000000000005</v>
      </c>
      <c r="L884" s="4" t="str" cm="1">
        <f t="array" aca="1" ref="L884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884" s="8">
        <f t="shared" ca="1" si="125"/>
        <v>20621</v>
      </c>
      <c r="N884" s="4" t="str" cm="1">
        <f t="array" aca="1" ref="N884" ca="1">INDEX({"New";"Repeat"}, RANDBETWEEN(1,2))</f>
        <v>New</v>
      </c>
      <c r="O884" s="4" t="str" cm="1">
        <f t="array" aca="1" ref="O884" ca="1">INDEX({"Loan";"Cash";"Lease"}, RANDBETWEEN(1,3))</f>
        <v>Cash</v>
      </c>
    </row>
    <row r="885" spans="1:15" x14ac:dyDescent="0.2">
      <c r="A885" s="4">
        <v>883</v>
      </c>
      <c r="B885" s="5">
        <f t="shared" ca="1" si="117"/>
        <v>45874</v>
      </c>
      <c r="C885" s="4" t="str" cm="1">
        <f t="array" aca="1" ref="C885" ca="1">INDEX({"Cochin";"Delhi";"Mumbai";"Pune";"Bengaluru"}, RANDBETWEEN(1,5))</f>
        <v>Delhi</v>
      </c>
      <c r="D885" s="4" t="str" cm="1">
        <f t="array" aca="1" ref="D885" ca="1">INDEX({"C-Class";"E-Class";"S-Class";"GLA";"GLC";"GLE";"GLS";"EQB"}, RANDBETWEEN(1,8))</f>
        <v>C-Class</v>
      </c>
      <c r="E885" s="4" t="str">
        <f t="shared" ca="1" si="118"/>
        <v>Sedan</v>
      </c>
      <c r="F885" s="4">
        <f t="shared" ca="1" si="119"/>
        <v>3</v>
      </c>
      <c r="G885" s="8">
        <f t="shared" ca="1" si="120"/>
        <v>5977776</v>
      </c>
      <c r="H885" s="8">
        <f t="shared" ca="1" si="121"/>
        <v>17933328</v>
      </c>
      <c r="I885" s="8">
        <f t="shared" ca="1" si="122"/>
        <v>15063995.52</v>
      </c>
      <c r="J885" s="8">
        <f t="shared" ca="1" si="123"/>
        <v>2869332.4800000004</v>
      </c>
      <c r="K885" s="6">
        <f t="shared" ca="1" si="124"/>
        <v>0.16000000000000003</v>
      </c>
      <c r="L885" s="4" t="str" cm="1">
        <f t="array" aca="1" ref="L88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85" s="8">
        <f t="shared" ca="1" si="125"/>
        <v>4891</v>
      </c>
      <c r="N885" s="4" t="str" cm="1">
        <f t="array" aca="1" ref="N885" ca="1">INDEX({"New";"Repeat"}, RANDBETWEEN(1,2))</f>
        <v>Repeat</v>
      </c>
      <c r="O885" s="4" t="str" cm="1">
        <f t="array" aca="1" ref="O885" ca="1">INDEX({"Loan";"Cash";"Lease"}, RANDBETWEEN(1,3))</f>
        <v>Loan</v>
      </c>
    </row>
    <row r="886" spans="1:15" x14ac:dyDescent="0.2">
      <c r="A886" s="4">
        <v>884</v>
      </c>
      <c r="B886" s="5">
        <f t="shared" ca="1" si="117"/>
        <v>45574</v>
      </c>
      <c r="C886" s="4" t="str" cm="1">
        <f t="array" aca="1" ref="C886" ca="1">INDEX({"Cochin";"Delhi";"Mumbai";"Pune";"Bengaluru"}, RANDBETWEEN(1,5))</f>
        <v>Pune</v>
      </c>
      <c r="D886" s="4" t="str" cm="1">
        <f t="array" aca="1" ref="D886" ca="1">INDEX({"C-Class";"E-Class";"S-Class";"GLA";"GLC";"GLE";"GLS";"EQB"}, RANDBETWEEN(1,8))</f>
        <v>C-Class</v>
      </c>
      <c r="E886" s="4" t="str">
        <f t="shared" ca="1" si="118"/>
        <v>Sedan</v>
      </c>
      <c r="F886" s="4">
        <f t="shared" ca="1" si="119"/>
        <v>1</v>
      </c>
      <c r="G886" s="8">
        <f t="shared" ca="1" si="120"/>
        <v>6249360</v>
      </c>
      <c r="H886" s="8">
        <f t="shared" ca="1" si="121"/>
        <v>6249360</v>
      </c>
      <c r="I886" s="8">
        <f t="shared" ca="1" si="122"/>
        <v>5124475.2</v>
      </c>
      <c r="J886" s="8">
        <f t="shared" ca="1" si="123"/>
        <v>1124884.7999999998</v>
      </c>
      <c r="K886" s="6">
        <f t="shared" ca="1" si="124"/>
        <v>0.17999999999999997</v>
      </c>
      <c r="L886" s="4" t="str" cm="1">
        <f t="array" aca="1" ref="L88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86" s="8">
        <f t="shared" ca="1" si="125"/>
        <v>13336</v>
      </c>
      <c r="N886" s="4" t="str" cm="1">
        <f t="array" aca="1" ref="N886" ca="1">INDEX({"New";"Repeat"}, RANDBETWEEN(1,2))</f>
        <v>New</v>
      </c>
      <c r="O886" s="4" t="str" cm="1">
        <f t="array" aca="1" ref="O886" ca="1">INDEX({"Loan";"Cash";"Lease"}, RANDBETWEEN(1,3))</f>
        <v>Cash</v>
      </c>
    </row>
    <row r="887" spans="1:15" x14ac:dyDescent="0.2">
      <c r="A887" s="4">
        <v>885</v>
      </c>
      <c r="B887" s="5">
        <f t="shared" ca="1" si="117"/>
        <v>45185</v>
      </c>
      <c r="C887" s="4" t="str" cm="1">
        <f t="array" aca="1" ref="C887" ca="1">INDEX({"Cochin";"Delhi";"Mumbai";"Pune";"Bengaluru"}, RANDBETWEEN(1,5))</f>
        <v>Cochin</v>
      </c>
      <c r="D887" s="4" t="str" cm="1">
        <f t="array" aca="1" ref="D887" ca="1">INDEX({"C-Class";"E-Class";"S-Class";"GLA";"GLC";"GLE";"GLS";"EQB"}, RANDBETWEEN(1,8))</f>
        <v>EQB</v>
      </c>
      <c r="E887" s="4" t="str">
        <f t="shared" ca="1" si="118"/>
        <v>EV</v>
      </c>
      <c r="F887" s="4">
        <f t="shared" ca="1" si="119"/>
        <v>3</v>
      </c>
      <c r="G887" s="8">
        <f t="shared" ca="1" si="120"/>
        <v>7649445</v>
      </c>
      <c r="H887" s="8">
        <f t="shared" ca="1" si="121"/>
        <v>22948335</v>
      </c>
      <c r="I887" s="8">
        <f t="shared" ca="1" si="122"/>
        <v>18129184.649999999</v>
      </c>
      <c r="J887" s="8">
        <f t="shared" ca="1" si="123"/>
        <v>4819150.3500000015</v>
      </c>
      <c r="K887" s="6">
        <f t="shared" ca="1" si="124"/>
        <v>0.21000000000000008</v>
      </c>
      <c r="L887" s="4" t="str" cm="1">
        <f t="array" aca="1" ref="L887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87" s="8">
        <f t="shared" ca="1" si="125"/>
        <v>5599</v>
      </c>
      <c r="N887" s="4" t="str" cm="1">
        <f t="array" aca="1" ref="N887" ca="1">INDEX({"New";"Repeat"}, RANDBETWEEN(1,2))</f>
        <v>Repeat</v>
      </c>
      <c r="O887" s="4" t="str" cm="1">
        <f t="array" aca="1" ref="O887" ca="1">INDEX({"Loan";"Cash";"Lease"}, RANDBETWEEN(1,3))</f>
        <v>Lease</v>
      </c>
    </row>
    <row r="888" spans="1:15" x14ac:dyDescent="0.2">
      <c r="A888" s="4">
        <v>886</v>
      </c>
      <c r="B888" s="5">
        <f t="shared" ca="1" si="117"/>
        <v>45245</v>
      </c>
      <c r="C888" s="4" t="str" cm="1">
        <f t="array" aca="1" ref="C888" ca="1">INDEX({"Cochin";"Delhi";"Mumbai";"Pune";"Bengaluru"}, RANDBETWEEN(1,5))</f>
        <v>Delhi</v>
      </c>
      <c r="D888" s="4" t="str" cm="1">
        <f t="array" aca="1" ref="D888" ca="1">INDEX({"C-Class";"E-Class";"S-Class";"GLA";"GLC";"GLE";"GLS";"EQB"}, RANDBETWEEN(1,8))</f>
        <v>E-Class</v>
      </c>
      <c r="E888" s="4" t="str">
        <f t="shared" ca="1" si="118"/>
        <v>Sedan</v>
      </c>
      <c r="F888" s="4">
        <f t="shared" ca="1" si="119"/>
        <v>1</v>
      </c>
      <c r="G888" s="8">
        <f t="shared" ca="1" si="120"/>
        <v>8872279</v>
      </c>
      <c r="H888" s="8">
        <f t="shared" ca="1" si="121"/>
        <v>8872279</v>
      </c>
      <c r="I888" s="8">
        <f t="shared" ca="1" si="122"/>
        <v>7452714.3600000003</v>
      </c>
      <c r="J888" s="8">
        <f t="shared" ca="1" si="123"/>
        <v>1419564.6399999997</v>
      </c>
      <c r="K888" s="6">
        <f t="shared" ca="1" si="124"/>
        <v>0.15999999999999998</v>
      </c>
      <c r="L888" s="4" t="str" cm="1">
        <f t="array" aca="1" ref="L888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88" s="8">
        <f t="shared" ca="1" si="125"/>
        <v>7694</v>
      </c>
      <c r="N888" s="4" t="str" cm="1">
        <f t="array" aca="1" ref="N888" ca="1">INDEX({"New";"Repeat"}, RANDBETWEEN(1,2))</f>
        <v>Repeat</v>
      </c>
      <c r="O888" s="4" t="str" cm="1">
        <f t="array" aca="1" ref="O888" ca="1">INDEX({"Loan";"Cash";"Lease"}, RANDBETWEEN(1,3))</f>
        <v>Cash</v>
      </c>
    </row>
    <row r="889" spans="1:15" x14ac:dyDescent="0.2">
      <c r="A889" s="4">
        <v>887</v>
      </c>
      <c r="B889" s="5">
        <f t="shared" ca="1" si="117"/>
        <v>45742</v>
      </c>
      <c r="C889" s="4" t="str" cm="1">
        <f t="array" aca="1" ref="C889" ca="1">INDEX({"Cochin";"Delhi";"Mumbai";"Pune";"Bengaluru"}, RANDBETWEEN(1,5))</f>
        <v>Mumbai</v>
      </c>
      <c r="D889" s="4" t="str" cm="1">
        <f t="array" aca="1" ref="D889" ca="1">INDEX({"C-Class";"E-Class";"S-Class";"GLA";"GLC";"GLE";"GLS";"EQB"}, RANDBETWEEN(1,8))</f>
        <v>GLA</v>
      </c>
      <c r="E889" s="4" t="str">
        <f t="shared" ca="1" si="118"/>
        <v>SUV</v>
      </c>
      <c r="F889" s="4">
        <f t="shared" ca="1" si="119"/>
        <v>4</v>
      </c>
      <c r="G889" s="8">
        <f t="shared" ca="1" si="120"/>
        <v>5183149</v>
      </c>
      <c r="H889" s="8">
        <f t="shared" ca="1" si="121"/>
        <v>20732596</v>
      </c>
      <c r="I889" s="8">
        <f t="shared" ca="1" si="122"/>
        <v>17208054.68</v>
      </c>
      <c r="J889" s="8">
        <f t="shared" ca="1" si="123"/>
        <v>3524541.3200000003</v>
      </c>
      <c r="K889" s="6">
        <f t="shared" ca="1" si="124"/>
        <v>0.17</v>
      </c>
      <c r="L889" s="4" t="str" cm="1">
        <f t="array" aca="1" ref="L88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889" s="8">
        <f t="shared" ca="1" si="125"/>
        <v>4327</v>
      </c>
      <c r="N889" s="4" t="str" cm="1">
        <f t="array" aca="1" ref="N889" ca="1">INDEX({"New";"Repeat"}, RANDBETWEEN(1,2))</f>
        <v>Repeat</v>
      </c>
      <c r="O889" s="4" t="str" cm="1">
        <f t="array" aca="1" ref="O889" ca="1">INDEX({"Loan";"Cash";"Lease"}, RANDBETWEEN(1,3))</f>
        <v>Loan</v>
      </c>
    </row>
    <row r="890" spans="1:15" x14ac:dyDescent="0.2">
      <c r="A890" s="4">
        <v>888</v>
      </c>
      <c r="B890" s="5">
        <f t="shared" ca="1" si="117"/>
        <v>45711</v>
      </c>
      <c r="C890" s="4" t="str" cm="1">
        <f t="array" aca="1" ref="C890" ca="1">INDEX({"Cochin";"Delhi";"Mumbai";"Pune";"Bengaluru"}, RANDBETWEEN(1,5))</f>
        <v>Delhi</v>
      </c>
      <c r="D890" s="4" t="str" cm="1">
        <f t="array" aca="1" ref="D890" ca="1">INDEX({"C-Class";"E-Class";"S-Class";"GLA";"GLC";"GLE";"GLS";"EQB"}, RANDBETWEEN(1,8))</f>
        <v>GLC</v>
      </c>
      <c r="E890" s="4" t="str">
        <f t="shared" ca="1" si="118"/>
        <v>SUV</v>
      </c>
      <c r="F890" s="4">
        <f t="shared" ca="1" si="119"/>
        <v>2</v>
      </c>
      <c r="G890" s="8">
        <f t="shared" ca="1" si="120"/>
        <v>7133528</v>
      </c>
      <c r="H890" s="8">
        <f t="shared" ca="1" si="121"/>
        <v>14267056</v>
      </c>
      <c r="I890" s="8">
        <f t="shared" ca="1" si="122"/>
        <v>11556315.359999999</v>
      </c>
      <c r="J890" s="8">
        <f t="shared" ca="1" si="123"/>
        <v>2710740.6400000006</v>
      </c>
      <c r="K890" s="6">
        <f t="shared" ca="1" si="124"/>
        <v>0.19000000000000003</v>
      </c>
      <c r="L890" s="4" t="str" cm="1">
        <f t="array" aca="1" ref="L890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890" s="8">
        <f t="shared" ca="1" si="125"/>
        <v>4991</v>
      </c>
      <c r="N890" s="4" t="str" cm="1">
        <f t="array" aca="1" ref="N890" ca="1">INDEX({"New";"Repeat"}, RANDBETWEEN(1,2))</f>
        <v>Repeat</v>
      </c>
      <c r="O890" s="4" t="str" cm="1">
        <f t="array" aca="1" ref="O890" ca="1">INDEX({"Loan";"Cash";"Lease"}, RANDBETWEEN(1,3))</f>
        <v>Lease</v>
      </c>
    </row>
    <row r="891" spans="1:15" x14ac:dyDescent="0.2">
      <c r="A891" s="4">
        <v>889</v>
      </c>
      <c r="B891" s="5">
        <f t="shared" ca="1" si="117"/>
        <v>45067</v>
      </c>
      <c r="C891" s="4" t="str" cm="1">
        <f t="array" aca="1" ref="C891" ca="1">INDEX({"Cochin";"Delhi";"Mumbai";"Pune";"Bengaluru"}, RANDBETWEEN(1,5))</f>
        <v>Delhi</v>
      </c>
      <c r="D891" s="4" t="str" cm="1">
        <f t="array" aca="1" ref="D891" ca="1">INDEX({"C-Class";"E-Class";"S-Class";"GLA";"GLC";"GLE";"GLS";"EQB"}, RANDBETWEEN(1,8))</f>
        <v>GLA</v>
      </c>
      <c r="E891" s="4" t="str">
        <f t="shared" ca="1" si="118"/>
        <v>SUV</v>
      </c>
      <c r="F891" s="4">
        <f t="shared" ca="1" si="119"/>
        <v>5</v>
      </c>
      <c r="G891" s="8">
        <f t="shared" ca="1" si="120"/>
        <v>5074690</v>
      </c>
      <c r="H891" s="8">
        <f t="shared" ca="1" si="121"/>
        <v>25373450</v>
      </c>
      <c r="I891" s="8">
        <f t="shared" ca="1" si="122"/>
        <v>21567432.5</v>
      </c>
      <c r="J891" s="8">
        <f t="shared" ca="1" si="123"/>
        <v>3806017.5</v>
      </c>
      <c r="K891" s="6">
        <f t="shared" ca="1" si="124"/>
        <v>0.15</v>
      </c>
      <c r="L891" s="4" t="str" cm="1">
        <f t="array" aca="1" ref="L89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891" s="8">
        <f t="shared" ca="1" si="125"/>
        <v>4279</v>
      </c>
      <c r="N891" s="4" t="str" cm="1">
        <f t="array" aca="1" ref="N891" ca="1">INDEX({"New";"Repeat"}, RANDBETWEEN(1,2))</f>
        <v>Repeat</v>
      </c>
      <c r="O891" s="4" t="str" cm="1">
        <f t="array" aca="1" ref="O891" ca="1">INDEX({"Loan";"Cash";"Lease"}, RANDBETWEEN(1,3))</f>
        <v>Cash</v>
      </c>
    </row>
    <row r="892" spans="1:15" x14ac:dyDescent="0.2">
      <c r="A892" s="4">
        <v>890</v>
      </c>
      <c r="B892" s="5">
        <f t="shared" ca="1" si="117"/>
        <v>45516</v>
      </c>
      <c r="C892" s="4" t="str" cm="1">
        <f t="array" aca="1" ref="C892" ca="1">INDEX({"Cochin";"Delhi";"Mumbai";"Pune";"Bengaluru"}, RANDBETWEEN(1,5))</f>
        <v>Delhi</v>
      </c>
      <c r="D892" s="4" t="str" cm="1">
        <f t="array" aca="1" ref="D892" ca="1">INDEX({"C-Class";"E-Class";"S-Class";"GLA";"GLC";"GLE";"GLS";"EQB"}, RANDBETWEEN(1,8))</f>
        <v>GLS</v>
      </c>
      <c r="E892" s="4" t="str">
        <f t="shared" ca="1" si="118"/>
        <v>SUV</v>
      </c>
      <c r="F892" s="4">
        <f t="shared" ca="1" si="119"/>
        <v>5</v>
      </c>
      <c r="G892" s="8">
        <f t="shared" ca="1" si="120"/>
        <v>15930041</v>
      </c>
      <c r="H892" s="8">
        <f t="shared" ca="1" si="121"/>
        <v>79650205</v>
      </c>
      <c r="I892" s="8">
        <f t="shared" ca="1" si="122"/>
        <v>59737653.75</v>
      </c>
      <c r="J892" s="8">
        <f t="shared" ca="1" si="123"/>
        <v>19912551.25</v>
      </c>
      <c r="K892" s="6">
        <f t="shared" ca="1" si="124"/>
        <v>0.25</v>
      </c>
      <c r="L892" s="4" t="str" cm="1">
        <f t="array" aca="1" ref="L892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92" s="8">
        <f t="shared" ca="1" si="125"/>
        <v>20983</v>
      </c>
      <c r="N892" s="4" t="str" cm="1">
        <f t="array" aca="1" ref="N892" ca="1">INDEX({"New";"Repeat"}, RANDBETWEEN(1,2))</f>
        <v>New</v>
      </c>
      <c r="O892" s="4" t="str" cm="1">
        <f t="array" aca="1" ref="O892" ca="1">INDEX({"Loan";"Cash";"Lease"}, RANDBETWEEN(1,3))</f>
        <v>Lease</v>
      </c>
    </row>
    <row r="893" spans="1:15" x14ac:dyDescent="0.2">
      <c r="A893" s="4">
        <v>891</v>
      </c>
      <c r="B893" s="5">
        <f t="shared" ca="1" si="117"/>
        <v>45390</v>
      </c>
      <c r="C893" s="4" t="str" cm="1">
        <f t="array" aca="1" ref="C893" ca="1">INDEX({"Cochin";"Delhi";"Mumbai";"Pune";"Bengaluru"}, RANDBETWEEN(1,5))</f>
        <v>Delhi</v>
      </c>
      <c r="D893" s="4" t="str" cm="1">
        <f t="array" aca="1" ref="D893" ca="1">INDEX({"C-Class";"E-Class";"S-Class";"GLA";"GLC";"GLE";"GLS";"EQB"}, RANDBETWEEN(1,8))</f>
        <v>EQB</v>
      </c>
      <c r="E893" s="4" t="str">
        <f t="shared" ca="1" si="118"/>
        <v>EV</v>
      </c>
      <c r="F893" s="4">
        <f t="shared" ca="1" si="119"/>
        <v>4</v>
      </c>
      <c r="G893" s="8">
        <f t="shared" ca="1" si="120"/>
        <v>7547984</v>
      </c>
      <c r="H893" s="8">
        <f t="shared" ca="1" si="121"/>
        <v>30191936</v>
      </c>
      <c r="I893" s="8">
        <f t="shared" ca="1" si="122"/>
        <v>24455468.16</v>
      </c>
      <c r="J893" s="8">
        <f t="shared" ca="1" si="123"/>
        <v>5736467.8399999999</v>
      </c>
      <c r="K893" s="6">
        <f t="shared" ca="1" si="124"/>
        <v>0.19</v>
      </c>
      <c r="L893" s="4" t="str" cm="1">
        <f t="array" aca="1" ref="L89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893" s="8">
        <f t="shared" ca="1" si="125"/>
        <v>7671</v>
      </c>
      <c r="N893" s="4" t="str" cm="1">
        <f t="array" aca="1" ref="N893" ca="1">INDEX({"New";"Repeat"}, RANDBETWEEN(1,2))</f>
        <v>Repeat</v>
      </c>
      <c r="O893" s="4" t="str" cm="1">
        <f t="array" aca="1" ref="O893" ca="1">INDEX({"Loan";"Cash";"Lease"}, RANDBETWEEN(1,3))</f>
        <v>Loan</v>
      </c>
    </row>
    <row r="894" spans="1:15" x14ac:dyDescent="0.2">
      <c r="A894" s="4">
        <v>892</v>
      </c>
      <c r="B894" s="5">
        <f t="shared" ca="1" si="117"/>
        <v>45001</v>
      </c>
      <c r="C894" s="4" t="str" cm="1">
        <f t="array" aca="1" ref="C894" ca="1">INDEX({"Cochin";"Delhi";"Mumbai";"Pune";"Bengaluru"}, RANDBETWEEN(1,5))</f>
        <v>Bengaluru</v>
      </c>
      <c r="D894" s="4" t="str" cm="1">
        <f t="array" aca="1" ref="D894" ca="1">INDEX({"C-Class";"E-Class";"S-Class";"GLA";"GLC";"GLE";"GLS";"EQB"}, RANDBETWEEN(1,8))</f>
        <v>S-Class</v>
      </c>
      <c r="E894" s="4" t="str">
        <f t="shared" ca="1" si="118"/>
        <v>Sedan</v>
      </c>
      <c r="F894" s="4">
        <f t="shared" ca="1" si="119"/>
        <v>1</v>
      </c>
      <c r="G894" s="8">
        <f t="shared" ca="1" si="120"/>
        <v>24995194</v>
      </c>
      <c r="H894" s="8">
        <f t="shared" ca="1" si="121"/>
        <v>24995194</v>
      </c>
      <c r="I894" s="8">
        <f t="shared" ca="1" si="122"/>
        <v>18746395.5</v>
      </c>
      <c r="J894" s="8">
        <f t="shared" ca="1" si="123"/>
        <v>6248798.5</v>
      </c>
      <c r="K894" s="6">
        <f t="shared" ca="1" si="124"/>
        <v>0.25</v>
      </c>
      <c r="L894" s="4" t="str" cm="1">
        <f t="array" aca="1" ref="L89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894" s="8">
        <f t="shared" ca="1" si="125"/>
        <v>6623</v>
      </c>
      <c r="N894" s="4" t="str" cm="1">
        <f t="array" aca="1" ref="N894" ca="1">INDEX({"New";"Repeat"}, RANDBETWEEN(1,2))</f>
        <v>Repeat</v>
      </c>
      <c r="O894" s="4" t="str" cm="1">
        <f t="array" aca="1" ref="O894" ca="1">INDEX({"Loan";"Cash";"Lease"}, RANDBETWEEN(1,3))</f>
        <v>Cash</v>
      </c>
    </row>
    <row r="895" spans="1:15" x14ac:dyDescent="0.2">
      <c r="A895" s="4">
        <v>893</v>
      </c>
      <c r="B895" s="5">
        <f t="shared" ca="1" si="117"/>
        <v>45245</v>
      </c>
      <c r="C895" s="4" t="str" cm="1">
        <f t="array" aca="1" ref="C895" ca="1">INDEX({"Cochin";"Delhi";"Mumbai";"Pune";"Bengaluru"}, RANDBETWEEN(1,5))</f>
        <v>Pune</v>
      </c>
      <c r="D895" s="4" t="str" cm="1">
        <f t="array" aca="1" ref="D895" ca="1">INDEX({"C-Class";"E-Class";"S-Class";"GLA";"GLC";"GLE";"GLS";"EQB"}, RANDBETWEEN(1,8))</f>
        <v>EQB</v>
      </c>
      <c r="E895" s="4" t="str">
        <f t="shared" ca="1" si="118"/>
        <v>EV</v>
      </c>
      <c r="F895" s="4">
        <f t="shared" ca="1" si="119"/>
        <v>4</v>
      </c>
      <c r="G895" s="8">
        <f t="shared" ca="1" si="120"/>
        <v>7017259</v>
      </c>
      <c r="H895" s="8">
        <f t="shared" ca="1" si="121"/>
        <v>28069036</v>
      </c>
      <c r="I895" s="8">
        <f t="shared" ca="1" si="122"/>
        <v>21893848.079999998</v>
      </c>
      <c r="J895" s="8">
        <f t="shared" ca="1" si="123"/>
        <v>6175187.9200000018</v>
      </c>
      <c r="K895" s="6">
        <f t="shared" ca="1" si="124"/>
        <v>0.22000000000000006</v>
      </c>
      <c r="L895" s="4" t="str" cm="1">
        <f t="array" aca="1" ref="L89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895" s="8">
        <f t="shared" ca="1" si="125"/>
        <v>19245</v>
      </c>
      <c r="N895" s="4" t="str" cm="1">
        <f t="array" aca="1" ref="N895" ca="1">INDEX({"New";"Repeat"}, RANDBETWEEN(1,2))</f>
        <v>New</v>
      </c>
      <c r="O895" s="4" t="str" cm="1">
        <f t="array" aca="1" ref="O895" ca="1">INDEX({"Loan";"Cash";"Lease"}, RANDBETWEEN(1,3))</f>
        <v>Loan</v>
      </c>
    </row>
    <row r="896" spans="1:15" x14ac:dyDescent="0.2">
      <c r="A896" s="4">
        <v>894</v>
      </c>
      <c r="B896" s="5">
        <f t="shared" ca="1" si="117"/>
        <v>45800</v>
      </c>
      <c r="C896" s="4" t="str" cm="1">
        <f t="array" aca="1" ref="C896" ca="1">INDEX({"Cochin";"Delhi";"Mumbai";"Pune";"Bengaluru"}, RANDBETWEEN(1,5))</f>
        <v>Bengaluru</v>
      </c>
      <c r="D896" s="4" t="str" cm="1">
        <f t="array" aca="1" ref="D896" ca="1">INDEX({"C-Class";"E-Class";"S-Class";"GLA";"GLC";"GLE";"GLS";"EQB"}, RANDBETWEEN(1,8))</f>
        <v>EQB</v>
      </c>
      <c r="E896" s="4" t="str">
        <f t="shared" ca="1" si="118"/>
        <v>EV</v>
      </c>
      <c r="F896" s="4">
        <f t="shared" ca="1" si="119"/>
        <v>2</v>
      </c>
      <c r="G896" s="8">
        <f t="shared" ca="1" si="120"/>
        <v>7672639</v>
      </c>
      <c r="H896" s="8">
        <f t="shared" ca="1" si="121"/>
        <v>15345278</v>
      </c>
      <c r="I896" s="8">
        <f t="shared" ca="1" si="122"/>
        <v>12276222.4</v>
      </c>
      <c r="J896" s="8">
        <f t="shared" ca="1" si="123"/>
        <v>3069055.5999999996</v>
      </c>
      <c r="K896" s="6">
        <f t="shared" ca="1" si="124"/>
        <v>0.19999999999999998</v>
      </c>
      <c r="L896" s="4" t="str" cm="1">
        <f t="array" aca="1" ref="L89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896" s="8">
        <f t="shared" ca="1" si="125"/>
        <v>18086</v>
      </c>
      <c r="N896" s="4" t="str" cm="1">
        <f t="array" aca="1" ref="N896" ca="1">INDEX({"New";"Repeat"}, RANDBETWEEN(1,2))</f>
        <v>New</v>
      </c>
      <c r="O896" s="4" t="str" cm="1">
        <f t="array" aca="1" ref="O896" ca="1">INDEX({"Loan";"Cash";"Lease"}, RANDBETWEEN(1,3))</f>
        <v>Lease</v>
      </c>
    </row>
    <row r="897" spans="1:15" x14ac:dyDescent="0.2">
      <c r="A897" s="4">
        <v>895</v>
      </c>
      <c r="B897" s="5">
        <f t="shared" ca="1" si="117"/>
        <v>45711</v>
      </c>
      <c r="C897" s="4" t="str" cm="1">
        <f t="array" aca="1" ref="C897" ca="1">INDEX({"Cochin";"Delhi";"Mumbai";"Pune";"Bengaluru"}, RANDBETWEEN(1,5))</f>
        <v>Pune</v>
      </c>
      <c r="D897" s="4" t="str" cm="1">
        <f t="array" aca="1" ref="D897" ca="1">INDEX({"C-Class";"E-Class";"S-Class";"GLA";"GLC";"GLE";"GLS";"EQB"}, RANDBETWEEN(1,8))</f>
        <v>GLS</v>
      </c>
      <c r="E897" s="4" t="str">
        <f t="shared" ca="1" si="118"/>
        <v>SUV</v>
      </c>
      <c r="F897" s="4">
        <f t="shared" ca="1" si="119"/>
        <v>3</v>
      </c>
      <c r="G897" s="8">
        <f t="shared" ca="1" si="120"/>
        <v>14834087</v>
      </c>
      <c r="H897" s="8">
        <f t="shared" ca="1" si="121"/>
        <v>44502261</v>
      </c>
      <c r="I897" s="8">
        <f t="shared" ca="1" si="122"/>
        <v>33821718.359999999</v>
      </c>
      <c r="J897" s="8">
        <f t="shared" ca="1" si="123"/>
        <v>10680542.640000001</v>
      </c>
      <c r="K897" s="6">
        <f t="shared" ca="1" si="124"/>
        <v>0.24000000000000002</v>
      </c>
      <c r="L897" s="4" t="str" cm="1">
        <f t="array" aca="1" ref="L89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897" s="8">
        <f t="shared" ca="1" si="125"/>
        <v>19612</v>
      </c>
      <c r="N897" s="4" t="str" cm="1">
        <f t="array" aca="1" ref="N897" ca="1">INDEX({"New";"Repeat"}, RANDBETWEEN(1,2))</f>
        <v>New</v>
      </c>
      <c r="O897" s="4" t="str" cm="1">
        <f t="array" aca="1" ref="O897" ca="1">INDEX({"Loan";"Cash";"Lease"}, RANDBETWEEN(1,3))</f>
        <v>Loan</v>
      </c>
    </row>
    <row r="898" spans="1:15" x14ac:dyDescent="0.2">
      <c r="A898" s="4">
        <v>896</v>
      </c>
      <c r="B898" s="5">
        <f t="shared" ca="1" si="117"/>
        <v>45671</v>
      </c>
      <c r="C898" s="4" t="str" cm="1">
        <f t="array" aca="1" ref="C898" ca="1">INDEX({"Cochin";"Delhi";"Mumbai";"Pune";"Bengaluru"}, RANDBETWEEN(1,5))</f>
        <v>Pune</v>
      </c>
      <c r="D898" s="4" t="str" cm="1">
        <f t="array" aca="1" ref="D898" ca="1">INDEX({"C-Class";"E-Class";"S-Class";"GLA";"GLC";"GLE";"GLS";"EQB"}, RANDBETWEEN(1,8))</f>
        <v>GLE</v>
      </c>
      <c r="E898" s="4" t="str">
        <f t="shared" ca="1" si="118"/>
        <v>SUV</v>
      </c>
      <c r="F898" s="4">
        <f t="shared" ca="1" si="119"/>
        <v>2</v>
      </c>
      <c r="G898" s="8">
        <f t="shared" ca="1" si="120"/>
        <v>12254096</v>
      </c>
      <c r="H898" s="8">
        <f t="shared" ca="1" si="121"/>
        <v>24508192</v>
      </c>
      <c r="I898" s="8">
        <f t="shared" ca="1" si="122"/>
        <v>17645898.239999998</v>
      </c>
      <c r="J898" s="8">
        <f t="shared" ca="1" si="123"/>
        <v>6862293.7600000016</v>
      </c>
      <c r="K898" s="6">
        <f t="shared" ca="1" si="124"/>
        <v>0.28000000000000008</v>
      </c>
      <c r="L898" s="4" t="str" cm="1">
        <f t="array" aca="1" ref="L89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898" s="8">
        <f t="shared" ca="1" si="125"/>
        <v>4425</v>
      </c>
      <c r="N898" s="4" t="str" cm="1">
        <f t="array" aca="1" ref="N898" ca="1">INDEX({"New";"Repeat"}, RANDBETWEEN(1,2))</f>
        <v>Repeat</v>
      </c>
      <c r="O898" s="4" t="str" cm="1">
        <f t="array" aca="1" ref="O898" ca="1">INDEX({"Loan";"Cash";"Lease"}, RANDBETWEEN(1,3))</f>
        <v>Loan</v>
      </c>
    </row>
    <row r="899" spans="1:15" x14ac:dyDescent="0.2">
      <c r="A899" s="4">
        <v>897</v>
      </c>
      <c r="B899" s="5">
        <f t="shared" ca="1" si="117"/>
        <v>45232</v>
      </c>
      <c r="C899" s="4" t="str" cm="1">
        <f t="array" aca="1" ref="C899" ca="1">INDEX({"Cochin";"Delhi";"Mumbai";"Pune";"Bengaluru"}, RANDBETWEEN(1,5))</f>
        <v>Delhi</v>
      </c>
      <c r="D899" s="4" t="str" cm="1">
        <f t="array" aca="1" ref="D899" ca="1">INDEX({"C-Class";"E-Class";"S-Class";"GLA";"GLC";"GLE";"GLS";"EQB"}, RANDBETWEEN(1,8))</f>
        <v>GLC</v>
      </c>
      <c r="E899" s="4" t="str">
        <f t="shared" ca="1" si="118"/>
        <v>SUV</v>
      </c>
      <c r="F899" s="4">
        <f t="shared" ca="1" si="119"/>
        <v>4</v>
      </c>
      <c r="G899" s="8">
        <f t="shared" ca="1" si="120"/>
        <v>7498769</v>
      </c>
      <c r="H899" s="8">
        <f t="shared" ca="1" si="121"/>
        <v>29995076</v>
      </c>
      <c r="I899" s="8">
        <f t="shared" ca="1" si="122"/>
        <v>24895913.079999998</v>
      </c>
      <c r="J899" s="8">
        <f t="shared" ca="1" si="123"/>
        <v>5099162.9200000018</v>
      </c>
      <c r="K899" s="6">
        <f t="shared" ca="1" si="124"/>
        <v>0.17000000000000007</v>
      </c>
      <c r="L899" s="4" t="str" cm="1">
        <f t="array" aca="1" ref="L899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899" s="8">
        <f t="shared" ca="1" si="125"/>
        <v>5799</v>
      </c>
      <c r="N899" s="4" t="str" cm="1">
        <f t="array" aca="1" ref="N899" ca="1">INDEX({"New";"Repeat"}, RANDBETWEEN(1,2))</f>
        <v>Repeat</v>
      </c>
      <c r="O899" s="4" t="str" cm="1">
        <f t="array" aca="1" ref="O899" ca="1">INDEX({"Loan";"Cash";"Lease"}, RANDBETWEEN(1,3))</f>
        <v>Lease</v>
      </c>
    </row>
    <row r="900" spans="1:15" x14ac:dyDescent="0.2">
      <c r="A900" s="4">
        <v>898</v>
      </c>
      <c r="B900" s="5">
        <f t="shared" ref="B900:B963" ca="1" si="126">RANDBETWEEN(DATE(2023,1,1),DATE(2025,9,1))</f>
        <v>45095</v>
      </c>
      <c r="C900" s="4" t="str" cm="1">
        <f t="array" aca="1" ref="C900" ca="1">INDEX({"Cochin";"Delhi";"Mumbai";"Pune";"Bengaluru"}, RANDBETWEEN(1,5))</f>
        <v>Mumbai</v>
      </c>
      <c r="D900" s="4" t="str" cm="1">
        <f t="array" aca="1" ref="D900" ca="1">INDEX({"C-Class";"E-Class";"S-Class";"GLA";"GLC";"GLE";"GLS";"EQB"}, RANDBETWEEN(1,8))</f>
        <v>GLA</v>
      </c>
      <c r="E900" s="4" t="str">
        <f t="shared" ref="E900:E963" ca="1" si="127">IF(D900="EQB","EV", IF(OR(D900="GLA",D900="GLC",D900="GLE",D900="GLS"),"SUV","Sedan"))</f>
        <v>SUV</v>
      </c>
      <c r="F900" s="4">
        <f t="shared" ref="F900:F963" ca="1" si="128">RANDBETWEEN(1,5)</f>
        <v>5</v>
      </c>
      <c r="G900" s="8">
        <f t="shared" ref="G900:G963" ca="1" si="129">IF(D900="C-Class",RANDBETWEEN(5500000,7000000),
IF(D900="E-Class",RANDBETWEEN(7500000,9500000),
IF(D900="S-Class",RANDBETWEEN(15000000,25000000),
IF(D900="GLA",RANDBETWEEN(4500000,5500000),
IF(D900="GLC",RANDBETWEEN(6500000,7500000),
IF(D900="GLE",RANDBETWEEN(9000000,13000000),
IF(D900="GLS",RANDBETWEEN(13000000,18000000),
IF(D900="EQB",RANDBETWEEN(7000000,8000000)))))))))</f>
        <v>5468336</v>
      </c>
      <c r="H900" s="8">
        <f t="shared" ref="H900:H963" ca="1" si="130">F900*G900</f>
        <v>27341680</v>
      </c>
      <c r="I900" s="8">
        <f t="shared" ref="I900:I963" ca="1" si="131">G900 *F900* RANDBETWEEN(70,85) / 100</f>
        <v>19412592.800000001</v>
      </c>
      <c r="J900" s="8">
        <f t="shared" ref="J900:J963" ca="1" si="132">H900 -I900</f>
        <v>7929087.1999999993</v>
      </c>
      <c r="K900" s="6">
        <f t="shared" ref="K900:K963" ca="1" si="133">J900/H900</f>
        <v>0.28999999999999998</v>
      </c>
      <c r="L900" s="4" t="str" cm="1">
        <f t="array" aca="1" ref="L900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00" s="8">
        <f t="shared" ref="M900:M963" ca="1" si="134">IF(N900="New", RANDBETWEEN(10000,25000), RANDBETWEEN(3000,8000))</f>
        <v>5380</v>
      </c>
      <c r="N900" s="4" t="str" cm="1">
        <f t="array" aca="1" ref="N900" ca="1">INDEX({"New";"Repeat"}, RANDBETWEEN(1,2))</f>
        <v>Repeat</v>
      </c>
      <c r="O900" s="4" t="str" cm="1">
        <f t="array" aca="1" ref="O900" ca="1">INDEX({"Loan";"Cash";"Lease"}, RANDBETWEEN(1,3))</f>
        <v>Lease</v>
      </c>
    </row>
    <row r="901" spans="1:15" x14ac:dyDescent="0.2">
      <c r="A901" s="4">
        <v>899</v>
      </c>
      <c r="B901" s="5">
        <f t="shared" ca="1" si="126"/>
        <v>45084</v>
      </c>
      <c r="C901" s="4" t="str" cm="1">
        <f t="array" aca="1" ref="C901" ca="1">INDEX({"Cochin";"Delhi";"Mumbai";"Pune";"Bengaluru"}, RANDBETWEEN(1,5))</f>
        <v>Delhi</v>
      </c>
      <c r="D901" s="4" t="str" cm="1">
        <f t="array" aca="1" ref="D901" ca="1">INDEX({"C-Class";"E-Class";"S-Class";"GLA";"GLC";"GLE";"GLS";"EQB"}, RANDBETWEEN(1,8))</f>
        <v>S-Class</v>
      </c>
      <c r="E901" s="4" t="str">
        <f t="shared" ca="1" si="127"/>
        <v>Sedan</v>
      </c>
      <c r="F901" s="4">
        <f t="shared" ca="1" si="128"/>
        <v>1</v>
      </c>
      <c r="G901" s="8">
        <f t="shared" ca="1" si="129"/>
        <v>20622383</v>
      </c>
      <c r="H901" s="8">
        <f t="shared" ca="1" si="130"/>
        <v>20622383</v>
      </c>
      <c r="I901" s="8">
        <f t="shared" ca="1" si="131"/>
        <v>15673011.08</v>
      </c>
      <c r="J901" s="8">
        <f t="shared" ca="1" si="132"/>
        <v>4949371.92</v>
      </c>
      <c r="K901" s="6">
        <f t="shared" ca="1" si="133"/>
        <v>0.24</v>
      </c>
      <c r="L901" s="4" t="str" cm="1">
        <f t="array" aca="1" ref="L901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01" s="8">
        <f t="shared" ca="1" si="134"/>
        <v>15748</v>
      </c>
      <c r="N901" s="4" t="str" cm="1">
        <f t="array" aca="1" ref="N901" ca="1">INDEX({"New";"Repeat"}, RANDBETWEEN(1,2))</f>
        <v>New</v>
      </c>
      <c r="O901" s="4" t="str" cm="1">
        <f t="array" aca="1" ref="O901" ca="1">INDEX({"Loan";"Cash";"Lease"}, RANDBETWEEN(1,3))</f>
        <v>Loan</v>
      </c>
    </row>
    <row r="902" spans="1:15" x14ac:dyDescent="0.2">
      <c r="A902" s="4">
        <v>900</v>
      </c>
      <c r="B902" s="5">
        <f t="shared" ca="1" si="126"/>
        <v>45373</v>
      </c>
      <c r="C902" s="4" t="str" cm="1">
        <f t="array" aca="1" ref="C902" ca="1">INDEX({"Cochin";"Delhi";"Mumbai";"Pune";"Bengaluru"}, RANDBETWEEN(1,5))</f>
        <v>Mumbai</v>
      </c>
      <c r="D902" s="4" t="str" cm="1">
        <f t="array" aca="1" ref="D902" ca="1">INDEX({"C-Class";"E-Class";"S-Class";"GLA";"GLC";"GLE";"GLS";"EQB"}, RANDBETWEEN(1,8))</f>
        <v>GLA</v>
      </c>
      <c r="E902" s="4" t="str">
        <f t="shared" ca="1" si="127"/>
        <v>SUV</v>
      </c>
      <c r="F902" s="4">
        <f t="shared" ca="1" si="128"/>
        <v>4</v>
      </c>
      <c r="G902" s="8">
        <f t="shared" ca="1" si="129"/>
        <v>4978379</v>
      </c>
      <c r="H902" s="8">
        <f t="shared" ca="1" si="130"/>
        <v>19913516</v>
      </c>
      <c r="I902" s="8">
        <f t="shared" ca="1" si="131"/>
        <v>16329083.119999999</v>
      </c>
      <c r="J902" s="8">
        <f t="shared" ca="1" si="132"/>
        <v>3584432.8800000008</v>
      </c>
      <c r="K902" s="6">
        <f t="shared" ca="1" si="133"/>
        <v>0.18000000000000005</v>
      </c>
      <c r="L902" s="4" t="str" cm="1">
        <f t="array" aca="1" ref="L902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02" s="8">
        <f t="shared" ca="1" si="134"/>
        <v>20164</v>
      </c>
      <c r="N902" s="4" t="str" cm="1">
        <f t="array" aca="1" ref="N902" ca="1">INDEX({"New";"Repeat"}, RANDBETWEEN(1,2))</f>
        <v>New</v>
      </c>
      <c r="O902" s="4" t="str" cm="1">
        <f t="array" aca="1" ref="O902" ca="1">INDEX({"Loan";"Cash";"Lease"}, RANDBETWEEN(1,3))</f>
        <v>Lease</v>
      </c>
    </row>
    <row r="903" spans="1:15" x14ac:dyDescent="0.2">
      <c r="A903" s="4">
        <v>901</v>
      </c>
      <c r="B903" s="5">
        <f t="shared" ca="1" si="126"/>
        <v>45030</v>
      </c>
      <c r="C903" s="4" t="str" cm="1">
        <f t="array" aca="1" ref="C903" ca="1">INDEX({"Cochin";"Delhi";"Mumbai";"Pune";"Bengaluru"}, RANDBETWEEN(1,5))</f>
        <v>Mumbai</v>
      </c>
      <c r="D903" s="4" t="str" cm="1">
        <f t="array" aca="1" ref="D903" ca="1">INDEX({"C-Class";"E-Class";"S-Class";"GLA";"GLC";"GLE";"GLS";"EQB"}, RANDBETWEEN(1,8))</f>
        <v>GLS</v>
      </c>
      <c r="E903" s="4" t="str">
        <f t="shared" ca="1" si="127"/>
        <v>SUV</v>
      </c>
      <c r="F903" s="4">
        <f t="shared" ca="1" si="128"/>
        <v>4</v>
      </c>
      <c r="G903" s="8">
        <f t="shared" ca="1" si="129"/>
        <v>16115211</v>
      </c>
      <c r="H903" s="8">
        <f t="shared" ca="1" si="130"/>
        <v>64460844</v>
      </c>
      <c r="I903" s="8">
        <f t="shared" ca="1" si="131"/>
        <v>52857892.079999998</v>
      </c>
      <c r="J903" s="8">
        <f t="shared" ca="1" si="132"/>
        <v>11602951.920000002</v>
      </c>
      <c r="K903" s="6">
        <f t="shared" ca="1" si="133"/>
        <v>0.18000000000000002</v>
      </c>
      <c r="L903" s="4" t="str" cm="1">
        <f t="array" aca="1" ref="L903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03" s="8">
        <f t="shared" ca="1" si="134"/>
        <v>5153</v>
      </c>
      <c r="N903" s="4" t="str" cm="1">
        <f t="array" aca="1" ref="N903" ca="1">INDEX({"New";"Repeat"}, RANDBETWEEN(1,2))</f>
        <v>Repeat</v>
      </c>
      <c r="O903" s="4" t="str" cm="1">
        <f t="array" aca="1" ref="O903" ca="1">INDEX({"Loan";"Cash";"Lease"}, RANDBETWEEN(1,3))</f>
        <v>Loan</v>
      </c>
    </row>
    <row r="904" spans="1:15" x14ac:dyDescent="0.2">
      <c r="A904" s="4">
        <v>902</v>
      </c>
      <c r="B904" s="5">
        <f t="shared" ca="1" si="126"/>
        <v>45384</v>
      </c>
      <c r="C904" s="4" t="str" cm="1">
        <f t="array" aca="1" ref="C904" ca="1">INDEX({"Cochin";"Delhi";"Mumbai";"Pune";"Bengaluru"}, RANDBETWEEN(1,5))</f>
        <v>Pune</v>
      </c>
      <c r="D904" s="4" t="str" cm="1">
        <f t="array" aca="1" ref="D904" ca="1">INDEX({"C-Class";"E-Class";"S-Class";"GLA";"GLC";"GLE";"GLS";"EQB"}, RANDBETWEEN(1,8))</f>
        <v>GLC</v>
      </c>
      <c r="E904" s="4" t="str">
        <f t="shared" ca="1" si="127"/>
        <v>SUV</v>
      </c>
      <c r="F904" s="4">
        <f t="shared" ca="1" si="128"/>
        <v>2</v>
      </c>
      <c r="G904" s="8">
        <f t="shared" ca="1" si="129"/>
        <v>7464024</v>
      </c>
      <c r="H904" s="8">
        <f t="shared" ca="1" si="130"/>
        <v>14928048</v>
      </c>
      <c r="I904" s="8">
        <f t="shared" ca="1" si="131"/>
        <v>10897475.039999999</v>
      </c>
      <c r="J904" s="8">
        <f t="shared" ca="1" si="132"/>
        <v>4030572.9600000009</v>
      </c>
      <c r="K904" s="6">
        <f t="shared" ca="1" si="133"/>
        <v>0.27000000000000007</v>
      </c>
      <c r="L904" s="4" t="str" cm="1">
        <f t="array" aca="1" ref="L904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04" s="8">
        <f t="shared" ca="1" si="134"/>
        <v>22632</v>
      </c>
      <c r="N904" s="4" t="str" cm="1">
        <f t="array" aca="1" ref="N904" ca="1">INDEX({"New";"Repeat"}, RANDBETWEEN(1,2))</f>
        <v>New</v>
      </c>
      <c r="O904" s="4" t="str" cm="1">
        <f t="array" aca="1" ref="O904" ca="1">INDEX({"Loan";"Cash";"Lease"}, RANDBETWEEN(1,3))</f>
        <v>Lease</v>
      </c>
    </row>
    <row r="905" spans="1:15" x14ac:dyDescent="0.2">
      <c r="A905" s="4">
        <v>903</v>
      </c>
      <c r="B905" s="5">
        <f t="shared" ca="1" si="126"/>
        <v>45120</v>
      </c>
      <c r="C905" s="4" t="str" cm="1">
        <f t="array" aca="1" ref="C905" ca="1">INDEX({"Cochin";"Delhi";"Mumbai";"Pune";"Bengaluru"}, RANDBETWEEN(1,5))</f>
        <v>Bengaluru</v>
      </c>
      <c r="D905" s="4" t="str" cm="1">
        <f t="array" aca="1" ref="D905" ca="1">INDEX({"C-Class";"E-Class";"S-Class";"GLA";"GLC";"GLE";"GLS";"EQB"}, RANDBETWEEN(1,8))</f>
        <v>S-Class</v>
      </c>
      <c r="E905" s="4" t="str">
        <f t="shared" ca="1" si="127"/>
        <v>Sedan</v>
      </c>
      <c r="F905" s="4">
        <f t="shared" ca="1" si="128"/>
        <v>4</v>
      </c>
      <c r="G905" s="8">
        <f t="shared" ca="1" si="129"/>
        <v>17756973</v>
      </c>
      <c r="H905" s="8">
        <f t="shared" ca="1" si="130"/>
        <v>71027892</v>
      </c>
      <c r="I905" s="8">
        <f t="shared" ca="1" si="131"/>
        <v>50429803.32</v>
      </c>
      <c r="J905" s="8">
        <f t="shared" ca="1" si="132"/>
        <v>20598088.68</v>
      </c>
      <c r="K905" s="6">
        <f t="shared" ca="1" si="133"/>
        <v>0.28999999999999998</v>
      </c>
      <c r="L905" s="4" t="str" cm="1">
        <f t="array" aca="1" ref="L90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05" s="8">
        <f t="shared" ca="1" si="134"/>
        <v>16506</v>
      </c>
      <c r="N905" s="4" t="str" cm="1">
        <f t="array" aca="1" ref="N905" ca="1">INDEX({"New";"Repeat"}, RANDBETWEEN(1,2))</f>
        <v>New</v>
      </c>
      <c r="O905" s="4" t="str" cm="1">
        <f t="array" aca="1" ref="O905" ca="1">INDEX({"Loan";"Cash";"Lease"}, RANDBETWEEN(1,3))</f>
        <v>Lease</v>
      </c>
    </row>
    <row r="906" spans="1:15" x14ac:dyDescent="0.2">
      <c r="A906" s="4">
        <v>904</v>
      </c>
      <c r="B906" s="5">
        <f t="shared" ca="1" si="126"/>
        <v>45538</v>
      </c>
      <c r="C906" s="4" t="str" cm="1">
        <f t="array" aca="1" ref="C906" ca="1">INDEX({"Cochin";"Delhi";"Mumbai";"Pune";"Bengaluru"}, RANDBETWEEN(1,5))</f>
        <v>Mumbai</v>
      </c>
      <c r="D906" s="4" t="str" cm="1">
        <f t="array" aca="1" ref="D906" ca="1">INDEX({"C-Class";"E-Class";"S-Class";"GLA";"GLC";"GLE";"GLS";"EQB"}, RANDBETWEEN(1,8))</f>
        <v>GLS</v>
      </c>
      <c r="E906" s="4" t="str">
        <f t="shared" ca="1" si="127"/>
        <v>SUV</v>
      </c>
      <c r="F906" s="4">
        <f t="shared" ca="1" si="128"/>
        <v>4</v>
      </c>
      <c r="G906" s="8">
        <f t="shared" ca="1" si="129"/>
        <v>14769014</v>
      </c>
      <c r="H906" s="8">
        <f t="shared" ca="1" si="130"/>
        <v>59076056</v>
      </c>
      <c r="I906" s="8">
        <f t="shared" ca="1" si="131"/>
        <v>44307042</v>
      </c>
      <c r="J906" s="8">
        <f t="shared" ca="1" si="132"/>
        <v>14769014</v>
      </c>
      <c r="K906" s="6">
        <f t="shared" ca="1" si="133"/>
        <v>0.25</v>
      </c>
      <c r="L906" s="4" t="str" cm="1">
        <f t="array" aca="1" ref="L90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06" s="8">
        <f t="shared" ca="1" si="134"/>
        <v>19017</v>
      </c>
      <c r="N906" s="4" t="str" cm="1">
        <f t="array" aca="1" ref="N906" ca="1">INDEX({"New";"Repeat"}, RANDBETWEEN(1,2))</f>
        <v>New</v>
      </c>
      <c r="O906" s="4" t="str" cm="1">
        <f t="array" aca="1" ref="O906" ca="1">INDEX({"Loan";"Cash";"Lease"}, RANDBETWEEN(1,3))</f>
        <v>Cash</v>
      </c>
    </row>
    <row r="907" spans="1:15" x14ac:dyDescent="0.2">
      <c r="A907" s="4">
        <v>905</v>
      </c>
      <c r="B907" s="5">
        <f t="shared" ca="1" si="126"/>
        <v>45767</v>
      </c>
      <c r="C907" s="4" t="str" cm="1">
        <f t="array" aca="1" ref="C907" ca="1">INDEX({"Cochin";"Delhi";"Mumbai";"Pune";"Bengaluru"}, RANDBETWEEN(1,5))</f>
        <v>Pune</v>
      </c>
      <c r="D907" s="4" t="str" cm="1">
        <f t="array" aca="1" ref="D907" ca="1">INDEX({"C-Class";"E-Class";"S-Class";"GLA";"GLC";"GLE";"GLS";"EQB"}, RANDBETWEEN(1,8))</f>
        <v>GLC</v>
      </c>
      <c r="E907" s="4" t="str">
        <f t="shared" ca="1" si="127"/>
        <v>SUV</v>
      </c>
      <c r="F907" s="4">
        <f t="shared" ca="1" si="128"/>
        <v>5</v>
      </c>
      <c r="G907" s="8">
        <f t="shared" ca="1" si="129"/>
        <v>7121500</v>
      </c>
      <c r="H907" s="8">
        <f t="shared" ca="1" si="130"/>
        <v>35607500</v>
      </c>
      <c r="I907" s="8">
        <f t="shared" ca="1" si="131"/>
        <v>27417775</v>
      </c>
      <c r="J907" s="8">
        <f t="shared" ca="1" si="132"/>
        <v>8189725</v>
      </c>
      <c r="K907" s="6">
        <f t="shared" ca="1" si="133"/>
        <v>0.23</v>
      </c>
      <c r="L907" s="4" t="str" cm="1">
        <f t="array" aca="1" ref="L907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07" s="8">
        <f t="shared" ca="1" si="134"/>
        <v>6799</v>
      </c>
      <c r="N907" s="4" t="str" cm="1">
        <f t="array" aca="1" ref="N907" ca="1">INDEX({"New";"Repeat"}, RANDBETWEEN(1,2))</f>
        <v>Repeat</v>
      </c>
      <c r="O907" s="4" t="str" cm="1">
        <f t="array" aca="1" ref="O907" ca="1">INDEX({"Loan";"Cash";"Lease"}, RANDBETWEEN(1,3))</f>
        <v>Cash</v>
      </c>
    </row>
    <row r="908" spans="1:15" x14ac:dyDescent="0.2">
      <c r="A908" s="4">
        <v>906</v>
      </c>
      <c r="B908" s="5">
        <f t="shared" ca="1" si="126"/>
        <v>45598</v>
      </c>
      <c r="C908" s="4" t="str" cm="1">
        <f t="array" aca="1" ref="C908" ca="1">INDEX({"Cochin";"Delhi";"Mumbai";"Pune";"Bengaluru"}, RANDBETWEEN(1,5))</f>
        <v>Cochin</v>
      </c>
      <c r="D908" s="4" t="str" cm="1">
        <f t="array" aca="1" ref="D908" ca="1">INDEX({"C-Class";"E-Class";"S-Class";"GLA";"GLC";"GLE";"GLS";"EQB"}, RANDBETWEEN(1,8))</f>
        <v>S-Class</v>
      </c>
      <c r="E908" s="4" t="str">
        <f t="shared" ca="1" si="127"/>
        <v>Sedan</v>
      </c>
      <c r="F908" s="4">
        <f t="shared" ca="1" si="128"/>
        <v>1</v>
      </c>
      <c r="G908" s="8">
        <f t="shared" ca="1" si="129"/>
        <v>17285992</v>
      </c>
      <c r="H908" s="8">
        <f t="shared" ca="1" si="130"/>
        <v>17285992</v>
      </c>
      <c r="I908" s="8">
        <f t="shared" ca="1" si="131"/>
        <v>14693093.199999999</v>
      </c>
      <c r="J908" s="8">
        <f t="shared" ca="1" si="132"/>
        <v>2592898.8000000007</v>
      </c>
      <c r="K908" s="6">
        <f t="shared" ca="1" si="133"/>
        <v>0.15000000000000005</v>
      </c>
      <c r="L908" s="4" t="str" cm="1">
        <f t="array" aca="1" ref="L908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08" s="8">
        <f t="shared" ca="1" si="134"/>
        <v>3829</v>
      </c>
      <c r="N908" s="4" t="str" cm="1">
        <f t="array" aca="1" ref="N908" ca="1">INDEX({"New";"Repeat"}, RANDBETWEEN(1,2))</f>
        <v>Repeat</v>
      </c>
      <c r="O908" s="4" t="str" cm="1">
        <f t="array" aca="1" ref="O908" ca="1">INDEX({"Loan";"Cash";"Lease"}, RANDBETWEEN(1,3))</f>
        <v>Cash</v>
      </c>
    </row>
    <row r="909" spans="1:15" x14ac:dyDescent="0.2">
      <c r="A909" s="4">
        <v>907</v>
      </c>
      <c r="B909" s="5">
        <f t="shared" ca="1" si="126"/>
        <v>45468</v>
      </c>
      <c r="C909" s="4" t="str" cm="1">
        <f t="array" aca="1" ref="C909" ca="1">INDEX({"Cochin";"Delhi";"Mumbai";"Pune";"Bengaluru"}, RANDBETWEEN(1,5))</f>
        <v>Delhi</v>
      </c>
      <c r="D909" s="4" t="str" cm="1">
        <f t="array" aca="1" ref="D909" ca="1">INDEX({"C-Class";"E-Class";"S-Class";"GLA";"GLC";"GLE";"GLS";"EQB"}, RANDBETWEEN(1,8))</f>
        <v>GLE</v>
      </c>
      <c r="E909" s="4" t="str">
        <f t="shared" ca="1" si="127"/>
        <v>SUV</v>
      </c>
      <c r="F909" s="4">
        <f t="shared" ca="1" si="128"/>
        <v>4</v>
      </c>
      <c r="G909" s="8">
        <f t="shared" ca="1" si="129"/>
        <v>11743764</v>
      </c>
      <c r="H909" s="8">
        <f t="shared" ca="1" si="130"/>
        <v>46975056</v>
      </c>
      <c r="I909" s="8">
        <f t="shared" ca="1" si="131"/>
        <v>33822040.32</v>
      </c>
      <c r="J909" s="8">
        <f t="shared" ca="1" si="132"/>
        <v>13153015.68</v>
      </c>
      <c r="K909" s="6">
        <f t="shared" ca="1" si="133"/>
        <v>0.27999999999999997</v>
      </c>
      <c r="L909" s="4" t="str" cm="1">
        <f t="array" aca="1" ref="L909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09" s="8">
        <f t="shared" ca="1" si="134"/>
        <v>19271</v>
      </c>
      <c r="N909" s="4" t="str" cm="1">
        <f t="array" aca="1" ref="N909" ca="1">INDEX({"New";"Repeat"}, RANDBETWEEN(1,2))</f>
        <v>New</v>
      </c>
      <c r="O909" s="4" t="str" cm="1">
        <f t="array" aca="1" ref="O909" ca="1">INDEX({"Loan";"Cash";"Lease"}, RANDBETWEEN(1,3))</f>
        <v>Cash</v>
      </c>
    </row>
    <row r="910" spans="1:15" x14ac:dyDescent="0.2">
      <c r="A910" s="4">
        <v>908</v>
      </c>
      <c r="B910" s="5">
        <f t="shared" ca="1" si="126"/>
        <v>44964</v>
      </c>
      <c r="C910" s="4" t="str" cm="1">
        <f t="array" aca="1" ref="C910" ca="1">INDEX({"Cochin";"Delhi";"Mumbai";"Pune";"Bengaluru"}, RANDBETWEEN(1,5))</f>
        <v>Pune</v>
      </c>
      <c r="D910" s="4" t="str" cm="1">
        <f t="array" aca="1" ref="D910" ca="1">INDEX({"C-Class";"E-Class";"S-Class";"GLA";"GLC";"GLE";"GLS";"EQB"}, RANDBETWEEN(1,8))</f>
        <v>EQB</v>
      </c>
      <c r="E910" s="4" t="str">
        <f t="shared" ca="1" si="127"/>
        <v>EV</v>
      </c>
      <c r="F910" s="4">
        <f t="shared" ca="1" si="128"/>
        <v>5</v>
      </c>
      <c r="G910" s="8">
        <f t="shared" ca="1" si="129"/>
        <v>7143846</v>
      </c>
      <c r="H910" s="8">
        <f t="shared" ca="1" si="130"/>
        <v>35719230</v>
      </c>
      <c r="I910" s="8">
        <f t="shared" ca="1" si="131"/>
        <v>26789422.5</v>
      </c>
      <c r="J910" s="8">
        <f t="shared" ca="1" si="132"/>
        <v>8929807.5</v>
      </c>
      <c r="K910" s="6">
        <f t="shared" ca="1" si="133"/>
        <v>0.25</v>
      </c>
      <c r="L910" s="4" t="str" cm="1">
        <f t="array" aca="1" ref="L91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10" s="8">
        <f t="shared" ca="1" si="134"/>
        <v>10067</v>
      </c>
      <c r="N910" s="4" t="str" cm="1">
        <f t="array" aca="1" ref="N910" ca="1">INDEX({"New";"Repeat"}, RANDBETWEEN(1,2))</f>
        <v>New</v>
      </c>
      <c r="O910" s="4" t="str" cm="1">
        <f t="array" aca="1" ref="O910" ca="1">INDEX({"Loan";"Cash";"Lease"}, RANDBETWEEN(1,3))</f>
        <v>Lease</v>
      </c>
    </row>
    <row r="911" spans="1:15" x14ac:dyDescent="0.2">
      <c r="A911" s="4">
        <v>909</v>
      </c>
      <c r="B911" s="5">
        <f t="shared" ca="1" si="126"/>
        <v>45593</v>
      </c>
      <c r="C911" s="4" t="str" cm="1">
        <f t="array" aca="1" ref="C911" ca="1">INDEX({"Cochin";"Delhi";"Mumbai";"Pune";"Bengaluru"}, RANDBETWEEN(1,5))</f>
        <v>Pune</v>
      </c>
      <c r="D911" s="4" t="str" cm="1">
        <f t="array" aca="1" ref="D911" ca="1">INDEX({"C-Class";"E-Class";"S-Class";"GLA";"GLC";"GLE";"GLS";"EQB"}, RANDBETWEEN(1,8))</f>
        <v>S-Class</v>
      </c>
      <c r="E911" s="4" t="str">
        <f t="shared" ca="1" si="127"/>
        <v>Sedan</v>
      </c>
      <c r="F911" s="4">
        <f t="shared" ca="1" si="128"/>
        <v>4</v>
      </c>
      <c r="G911" s="8">
        <f t="shared" ca="1" si="129"/>
        <v>20048290</v>
      </c>
      <c r="H911" s="8">
        <f t="shared" ca="1" si="130"/>
        <v>80193160</v>
      </c>
      <c r="I911" s="8">
        <f t="shared" ca="1" si="131"/>
        <v>61748733.200000003</v>
      </c>
      <c r="J911" s="8">
        <f t="shared" ca="1" si="132"/>
        <v>18444426.799999997</v>
      </c>
      <c r="K911" s="6">
        <f t="shared" ca="1" si="133"/>
        <v>0.22999999999999995</v>
      </c>
      <c r="L911" s="4" t="str" cm="1">
        <f t="array" aca="1" ref="L911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11" s="8">
        <f t="shared" ca="1" si="134"/>
        <v>7763</v>
      </c>
      <c r="N911" s="4" t="str" cm="1">
        <f t="array" aca="1" ref="N911" ca="1">INDEX({"New";"Repeat"}, RANDBETWEEN(1,2))</f>
        <v>Repeat</v>
      </c>
      <c r="O911" s="4" t="str" cm="1">
        <f t="array" aca="1" ref="O911" ca="1">INDEX({"Loan";"Cash";"Lease"}, RANDBETWEEN(1,3))</f>
        <v>Cash</v>
      </c>
    </row>
    <row r="912" spans="1:15" x14ac:dyDescent="0.2">
      <c r="A912" s="4">
        <v>910</v>
      </c>
      <c r="B912" s="5">
        <f t="shared" ca="1" si="126"/>
        <v>45112</v>
      </c>
      <c r="C912" s="4" t="str" cm="1">
        <f t="array" aca="1" ref="C912" ca="1">INDEX({"Cochin";"Delhi";"Mumbai";"Pune";"Bengaluru"}, RANDBETWEEN(1,5))</f>
        <v>Delhi</v>
      </c>
      <c r="D912" s="4" t="str" cm="1">
        <f t="array" aca="1" ref="D912" ca="1">INDEX({"C-Class";"E-Class";"S-Class";"GLA";"GLC";"GLE";"GLS";"EQB"}, RANDBETWEEN(1,8))</f>
        <v>GLS</v>
      </c>
      <c r="E912" s="4" t="str">
        <f t="shared" ca="1" si="127"/>
        <v>SUV</v>
      </c>
      <c r="F912" s="4">
        <f t="shared" ca="1" si="128"/>
        <v>4</v>
      </c>
      <c r="G912" s="8">
        <f t="shared" ca="1" si="129"/>
        <v>17676243</v>
      </c>
      <c r="H912" s="8">
        <f t="shared" ca="1" si="130"/>
        <v>70704972</v>
      </c>
      <c r="I912" s="8">
        <f t="shared" ca="1" si="131"/>
        <v>54442828.439999998</v>
      </c>
      <c r="J912" s="8">
        <f t="shared" ca="1" si="132"/>
        <v>16262143.560000002</v>
      </c>
      <c r="K912" s="6">
        <f t="shared" ca="1" si="133"/>
        <v>0.23000000000000004</v>
      </c>
      <c r="L912" s="4" t="str" cm="1">
        <f t="array" aca="1" ref="L912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12" s="8">
        <f t="shared" ca="1" si="134"/>
        <v>15642</v>
      </c>
      <c r="N912" s="4" t="str" cm="1">
        <f t="array" aca="1" ref="N912" ca="1">INDEX({"New";"Repeat"}, RANDBETWEEN(1,2))</f>
        <v>New</v>
      </c>
      <c r="O912" s="4" t="str" cm="1">
        <f t="array" aca="1" ref="O912" ca="1">INDEX({"Loan";"Cash";"Lease"}, RANDBETWEEN(1,3))</f>
        <v>Loan</v>
      </c>
    </row>
    <row r="913" spans="1:15" x14ac:dyDescent="0.2">
      <c r="A913" s="4">
        <v>911</v>
      </c>
      <c r="B913" s="5">
        <f t="shared" ca="1" si="126"/>
        <v>45119</v>
      </c>
      <c r="C913" s="4" t="str" cm="1">
        <f t="array" aca="1" ref="C913" ca="1">INDEX({"Cochin";"Delhi";"Mumbai";"Pune";"Bengaluru"}, RANDBETWEEN(1,5))</f>
        <v>Delhi</v>
      </c>
      <c r="D913" s="4" t="str" cm="1">
        <f t="array" aca="1" ref="D913" ca="1">INDEX({"C-Class";"E-Class";"S-Class";"GLA";"GLC";"GLE";"GLS";"EQB"}, RANDBETWEEN(1,8))</f>
        <v>GLC</v>
      </c>
      <c r="E913" s="4" t="str">
        <f t="shared" ca="1" si="127"/>
        <v>SUV</v>
      </c>
      <c r="F913" s="4">
        <f t="shared" ca="1" si="128"/>
        <v>4</v>
      </c>
      <c r="G913" s="8">
        <f t="shared" ca="1" si="129"/>
        <v>6509683</v>
      </c>
      <c r="H913" s="8">
        <f t="shared" ca="1" si="130"/>
        <v>26038732</v>
      </c>
      <c r="I913" s="8">
        <f t="shared" ca="1" si="131"/>
        <v>20830985.600000001</v>
      </c>
      <c r="J913" s="8">
        <f t="shared" ca="1" si="132"/>
        <v>5207746.3999999985</v>
      </c>
      <c r="K913" s="6">
        <f t="shared" ca="1" si="133"/>
        <v>0.19999999999999996</v>
      </c>
      <c r="L913" s="4" t="str" cm="1">
        <f t="array" aca="1" ref="L913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13" s="8">
        <f t="shared" ca="1" si="134"/>
        <v>7866</v>
      </c>
      <c r="N913" s="4" t="str" cm="1">
        <f t="array" aca="1" ref="N913" ca="1">INDEX({"New";"Repeat"}, RANDBETWEEN(1,2))</f>
        <v>Repeat</v>
      </c>
      <c r="O913" s="4" t="str" cm="1">
        <f t="array" aca="1" ref="O913" ca="1">INDEX({"Loan";"Cash";"Lease"}, RANDBETWEEN(1,3))</f>
        <v>Lease</v>
      </c>
    </row>
    <row r="914" spans="1:15" x14ac:dyDescent="0.2">
      <c r="A914" s="4">
        <v>912</v>
      </c>
      <c r="B914" s="5">
        <f t="shared" ca="1" si="126"/>
        <v>45862</v>
      </c>
      <c r="C914" s="4" t="str" cm="1">
        <f t="array" aca="1" ref="C914" ca="1">INDEX({"Cochin";"Delhi";"Mumbai";"Pune";"Bengaluru"}, RANDBETWEEN(1,5))</f>
        <v>Pune</v>
      </c>
      <c r="D914" s="4" t="str" cm="1">
        <f t="array" aca="1" ref="D914" ca="1">INDEX({"C-Class";"E-Class";"S-Class";"GLA";"GLC";"GLE";"GLS";"EQB"}, RANDBETWEEN(1,8))</f>
        <v>GLA</v>
      </c>
      <c r="E914" s="4" t="str">
        <f t="shared" ca="1" si="127"/>
        <v>SUV</v>
      </c>
      <c r="F914" s="4">
        <f t="shared" ca="1" si="128"/>
        <v>3</v>
      </c>
      <c r="G914" s="8">
        <f t="shared" ca="1" si="129"/>
        <v>4542130</v>
      </c>
      <c r="H914" s="8">
        <f t="shared" ca="1" si="130"/>
        <v>13626390</v>
      </c>
      <c r="I914" s="8">
        <f t="shared" ca="1" si="131"/>
        <v>10901112</v>
      </c>
      <c r="J914" s="8">
        <f t="shared" ca="1" si="132"/>
        <v>2725278</v>
      </c>
      <c r="K914" s="6">
        <f t="shared" ca="1" si="133"/>
        <v>0.2</v>
      </c>
      <c r="L914" s="4" t="str" cm="1">
        <f t="array" aca="1" ref="L914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14" s="8">
        <f t="shared" ca="1" si="134"/>
        <v>3052</v>
      </c>
      <c r="N914" s="4" t="str" cm="1">
        <f t="array" aca="1" ref="N914" ca="1">INDEX({"New";"Repeat"}, RANDBETWEEN(1,2))</f>
        <v>Repeat</v>
      </c>
      <c r="O914" s="4" t="str" cm="1">
        <f t="array" aca="1" ref="O914" ca="1">INDEX({"Loan";"Cash";"Lease"}, RANDBETWEEN(1,3))</f>
        <v>Cash</v>
      </c>
    </row>
    <row r="915" spans="1:15" x14ac:dyDescent="0.2">
      <c r="A915" s="4">
        <v>913</v>
      </c>
      <c r="B915" s="5">
        <f t="shared" ca="1" si="126"/>
        <v>45627</v>
      </c>
      <c r="C915" s="4" t="str" cm="1">
        <f t="array" aca="1" ref="C915" ca="1">INDEX({"Cochin";"Delhi";"Mumbai";"Pune";"Bengaluru"}, RANDBETWEEN(1,5))</f>
        <v>Cochin</v>
      </c>
      <c r="D915" s="4" t="str" cm="1">
        <f t="array" aca="1" ref="D915" ca="1">INDEX({"C-Class";"E-Class";"S-Class";"GLA";"GLC";"GLE";"GLS";"EQB"}, RANDBETWEEN(1,8))</f>
        <v>GLC</v>
      </c>
      <c r="E915" s="4" t="str">
        <f t="shared" ca="1" si="127"/>
        <v>SUV</v>
      </c>
      <c r="F915" s="4">
        <f t="shared" ca="1" si="128"/>
        <v>2</v>
      </c>
      <c r="G915" s="8">
        <f t="shared" ca="1" si="129"/>
        <v>7014394</v>
      </c>
      <c r="H915" s="8">
        <f t="shared" ca="1" si="130"/>
        <v>14028788</v>
      </c>
      <c r="I915" s="8">
        <f t="shared" ca="1" si="131"/>
        <v>9820151.5999999996</v>
      </c>
      <c r="J915" s="8">
        <f t="shared" ca="1" si="132"/>
        <v>4208636.4000000004</v>
      </c>
      <c r="K915" s="6">
        <f t="shared" ca="1" si="133"/>
        <v>0.30000000000000004</v>
      </c>
      <c r="L915" s="4" t="str" cm="1">
        <f t="array" aca="1" ref="L915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15" s="8">
        <f t="shared" ca="1" si="134"/>
        <v>12544</v>
      </c>
      <c r="N915" s="4" t="str" cm="1">
        <f t="array" aca="1" ref="N915" ca="1">INDEX({"New";"Repeat"}, RANDBETWEEN(1,2))</f>
        <v>New</v>
      </c>
      <c r="O915" s="4" t="str" cm="1">
        <f t="array" aca="1" ref="O915" ca="1">INDEX({"Loan";"Cash";"Lease"}, RANDBETWEEN(1,3))</f>
        <v>Lease</v>
      </c>
    </row>
    <row r="916" spans="1:15" x14ac:dyDescent="0.2">
      <c r="A916" s="4">
        <v>914</v>
      </c>
      <c r="B916" s="5">
        <f t="shared" ca="1" si="126"/>
        <v>45449</v>
      </c>
      <c r="C916" s="4" t="str" cm="1">
        <f t="array" aca="1" ref="C916" ca="1">INDEX({"Cochin";"Delhi";"Mumbai";"Pune";"Bengaluru"}, RANDBETWEEN(1,5))</f>
        <v>Delhi</v>
      </c>
      <c r="D916" s="4" t="str" cm="1">
        <f t="array" aca="1" ref="D916" ca="1">INDEX({"C-Class";"E-Class";"S-Class";"GLA";"GLC";"GLE";"GLS";"EQB"}, RANDBETWEEN(1,8))</f>
        <v>GLA</v>
      </c>
      <c r="E916" s="4" t="str">
        <f t="shared" ca="1" si="127"/>
        <v>SUV</v>
      </c>
      <c r="F916" s="4">
        <f t="shared" ca="1" si="128"/>
        <v>1</v>
      </c>
      <c r="G916" s="8">
        <f t="shared" ca="1" si="129"/>
        <v>5227122</v>
      </c>
      <c r="H916" s="8">
        <f t="shared" ca="1" si="130"/>
        <v>5227122</v>
      </c>
      <c r="I916" s="8">
        <f t="shared" ca="1" si="131"/>
        <v>4077155.16</v>
      </c>
      <c r="J916" s="8">
        <f t="shared" ca="1" si="132"/>
        <v>1149966.8399999999</v>
      </c>
      <c r="K916" s="6">
        <f t="shared" ca="1" si="133"/>
        <v>0.21999999999999997</v>
      </c>
      <c r="L916" s="4" t="str" cm="1">
        <f t="array" aca="1" ref="L916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916" s="8">
        <f t="shared" ca="1" si="134"/>
        <v>3846</v>
      </c>
      <c r="N916" s="4" t="str" cm="1">
        <f t="array" aca="1" ref="N916" ca="1">INDEX({"New";"Repeat"}, RANDBETWEEN(1,2))</f>
        <v>Repeat</v>
      </c>
      <c r="O916" s="4" t="str" cm="1">
        <f t="array" aca="1" ref="O916" ca="1">INDEX({"Loan";"Cash";"Lease"}, RANDBETWEEN(1,3))</f>
        <v>Lease</v>
      </c>
    </row>
    <row r="917" spans="1:15" x14ac:dyDescent="0.2">
      <c r="A917" s="4">
        <v>915</v>
      </c>
      <c r="B917" s="5">
        <f t="shared" ca="1" si="126"/>
        <v>44978</v>
      </c>
      <c r="C917" s="4" t="str" cm="1">
        <f t="array" aca="1" ref="C917" ca="1">INDEX({"Cochin";"Delhi";"Mumbai";"Pune";"Bengaluru"}, RANDBETWEEN(1,5))</f>
        <v>Pune</v>
      </c>
      <c r="D917" s="4" t="str" cm="1">
        <f t="array" aca="1" ref="D917" ca="1">INDEX({"C-Class";"E-Class";"S-Class";"GLA";"GLC";"GLE";"GLS";"EQB"}, RANDBETWEEN(1,8))</f>
        <v>GLC</v>
      </c>
      <c r="E917" s="4" t="str">
        <f t="shared" ca="1" si="127"/>
        <v>SUV</v>
      </c>
      <c r="F917" s="4">
        <f t="shared" ca="1" si="128"/>
        <v>5</v>
      </c>
      <c r="G917" s="8">
        <f t="shared" ca="1" si="129"/>
        <v>7405775</v>
      </c>
      <c r="H917" s="8">
        <f t="shared" ca="1" si="130"/>
        <v>37028875</v>
      </c>
      <c r="I917" s="8">
        <f t="shared" ca="1" si="131"/>
        <v>27401367.5</v>
      </c>
      <c r="J917" s="8">
        <f t="shared" ca="1" si="132"/>
        <v>9627507.5</v>
      </c>
      <c r="K917" s="6">
        <f t="shared" ca="1" si="133"/>
        <v>0.26</v>
      </c>
      <c r="L917" s="4" t="str" cm="1">
        <f t="array" aca="1" ref="L917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17" s="8">
        <f t="shared" ca="1" si="134"/>
        <v>19770</v>
      </c>
      <c r="N917" s="4" t="str" cm="1">
        <f t="array" aca="1" ref="N917" ca="1">INDEX({"New";"Repeat"}, RANDBETWEEN(1,2))</f>
        <v>New</v>
      </c>
      <c r="O917" s="4" t="str" cm="1">
        <f t="array" aca="1" ref="O917" ca="1">INDEX({"Loan";"Cash";"Lease"}, RANDBETWEEN(1,3))</f>
        <v>Loan</v>
      </c>
    </row>
    <row r="918" spans="1:15" x14ac:dyDescent="0.2">
      <c r="A918" s="4">
        <v>916</v>
      </c>
      <c r="B918" s="5">
        <f t="shared" ca="1" si="126"/>
        <v>45357</v>
      </c>
      <c r="C918" s="4" t="str" cm="1">
        <f t="array" aca="1" ref="C918" ca="1">INDEX({"Cochin";"Delhi";"Mumbai";"Pune";"Bengaluru"}, RANDBETWEEN(1,5))</f>
        <v>Pune</v>
      </c>
      <c r="D918" s="4" t="str" cm="1">
        <f t="array" aca="1" ref="D918" ca="1">INDEX({"C-Class";"E-Class";"S-Class";"GLA";"GLC";"GLE";"GLS";"EQB"}, RANDBETWEEN(1,8))</f>
        <v>GLC</v>
      </c>
      <c r="E918" s="4" t="str">
        <f t="shared" ca="1" si="127"/>
        <v>SUV</v>
      </c>
      <c r="F918" s="4">
        <f t="shared" ca="1" si="128"/>
        <v>3</v>
      </c>
      <c r="G918" s="8">
        <f t="shared" ca="1" si="129"/>
        <v>6932255</v>
      </c>
      <c r="H918" s="8">
        <f t="shared" ca="1" si="130"/>
        <v>20796765</v>
      </c>
      <c r="I918" s="8">
        <f t="shared" ca="1" si="131"/>
        <v>16429444.35</v>
      </c>
      <c r="J918" s="8">
        <f t="shared" ca="1" si="132"/>
        <v>4367320.6500000004</v>
      </c>
      <c r="K918" s="6">
        <f t="shared" ca="1" si="133"/>
        <v>0.21000000000000002</v>
      </c>
      <c r="L918" s="4" t="str" cm="1">
        <f t="array" aca="1" ref="L91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18" s="8">
        <f t="shared" ca="1" si="134"/>
        <v>3139</v>
      </c>
      <c r="N918" s="4" t="str" cm="1">
        <f t="array" aca="1" ref="N918" ca="1">INDEX({"New";"Repeat"}, RANDBETWEEN(1,2))</f>
        <v>Repeat</v>
      </c>
      <c r="O918" s="4" t="str" cm="1">
        <f t="array" aca="1" ref="O918" ca="1">INDEX({"Loan";"Cash";"Lease"}, RANDBETWEEN(1,3))</f>
        <v>Cash</v>
      </c>
    </row>
    <row r="919" spans="1:15" x14ac:dyDescent="0.2">
      <c r="A919" s="4">
        <v>917</v>
      </c>
      <c r="B919" s="5">
        <f t="shared" ca="1" si="126"/>
        <v>45441</v>
      </c>
      <c r="C919" s="4" t="str" cm="1">
        <f t="array" aca="1" ref="C919" ca="1">INDEX({"Cochin";"Delhi";"Mumbai";"Pune";"Bengaluru"}, RANDBETWEEN(1,5))</f>
        <v>Pune</v>
      </c>
      <c r="D919" s="4" t="str" cm="1">
        <f t="array" aca="1" ref="D919" ca="1">INDEX({"C-Class";"E-Class";"S-Class";"GLA";"GLC";"GLE";"GLS";"EQB"}, RANDBETWEEN(1,8))</f>
        <v>GLA</v>
      </c>
      <c r="E919" s="4" t="str">
        <f t="shared" ca="1" si="127"/>
        <v>SUV</v>
      </c>
      <c r="F919" s="4">
        <f t="shared" ca="1" si="128"/>
        <v>3</v>
      </c>
      <c r="G919" s="8">
        <f t="shared" ca="1" si="129"/>
        <v>4627544</v>
      </c>
      <c r="H919" s="8">
        <f t="shared" ca="1" si="130"/>
        <v>13882632</v>
      </c>
      <c r="I919" s="8">
        <f t="shared" ca="1" si="131"/>
        <v>11244931.92</v>
      </c>
      <c r="J919" s="8">
        <f t="shared" ca="1" si="132"/>
        <v>2637700.08</v>
      </c>
      <c r="K919" s="6">
        <f t="shared" ca="1" si="133"/>
        <v>0.19</v>
      </c>
      <c r="L919" s="4" t="str" cm="1">
        <f t="array" aca="1" ref="L919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19" s="8">
        <f t="shared" ca="1" si="134"/>
        <v>7416</v>
      </c>
      <c r="N919" s="4" t="str" cm="1">
        <f t="array" aca="1" ref="N919" ca="1">INDEX({"New";"Repeat"}, RANDBETWEEN(1,2))</f>
        <v>Repeat</v>
      </c>
      <c r="O919" s="4" t="str" cm="1">
        <f t="array" aca="1" ref="O919" ca="1">INDEX({"Loan";"Cash";"Lease"}, RANDBETWEEN(1,3))</f>
        <v>Cash</v>
      </c>
    </row>
    <row r="920" spans="1:15" x14ac:dyDescent="0.2">
      <c r="A920" s="4">
        <v>918</v>
      </c>
      <c r="B920" s="5">
        <f t="shared" ca="1" si="126"/>
        <v>45260</v>
      </c>
      <c r="C920" s="4" t="str" cm="1">
        <f t="array" aca="1" ref="C920" ca="1">INDEX({"Cochin";"Delhi";"Mumbai";"Pune";"Bengaluru"}, RANDBETWEEN(1,5))</f>
        <v>Bengaluru</v>
      </c>
      <c r="D920" s="4" t="str" cm="1">
        <f t="array" aca="1" ref="D920" ca="1">INDEX({"C-Class";"E-Class";"S-Class";"GLA";"GLC";"GLE";"GLS";"EQB"}, RANDBETWEEN(1,8))</f>
        <v>S-Class</v>
      </c>
      <c r="E920" s="4" t="str">
        <f t="shared" ca="1" si="127"/>
        <v>Sedan</v>
      </c>
      <c r="F920" s="4">
        <f t="shared" ca="1" si="128"/>
        <v>5</v>
      </c>
      <c r="G920" s="8">
        <f t="shared" ca="1" si="129"/>
        <v>18807847</v>
      </c>
      <c r="H920" s="8">
        <f t="shared" ca="1" si="130"/>
        <v>94039235</v>
      </c>
      <c r="I920" s="8">
        <f t="shared" ca="1" si="131"/>
        <v>73350603.299999997</v>
      </c>
      <c r="J920" s="8">
        <f t="shared" ca="1" si="132"/>
        <v>20688631.700000003</v>
      </c>
      <c r="K920" s="6">
        <f t="shared" ca="1" si="133"/>
        <v>0.22000000000000003</v>
      </c>
      <c r="L920" s="4" t="str" cm="1">
        <f t="array" aca="1" ref="L920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20" s="8">
        <f t="shared" ca="1" si="134"/>
        <v>5895</v>
      </c>
      <c r="N920" s="4" t="str" cm="1">
        <f t="array" aca="1" ref="N920" ca="1">INDEX({"New";"Repeat"}, RANDBETWEEN(1,2))</f>
        <v>Repeat</v>
      </c>
      <c r="O920" s="4" t="str" cm="1">
        <f t="array" aca="1" ref="O920" ca="1">INDEX({"Loan";"Cash";"Lease"}, RANDBETWEEN(1,3))</f>
        <v>Lease</v>
      </c>
    </row>
    <row r="921" spans="1:15" x14ac:dyDescent="0.2">
      <c r="A921" s="4">
        <v>919</v>
      </c>
      <c r="B921" s="5">
        <f t="shared" ca="1" si="126"/>
        <v>45572</v>
      </c>
      <c r="C921" s="4" t="str" cm="1">
        <f t="array" aca="1" ref="C921" ca="1">INDEX({"Cochin";"Delhi";"Mumbai";"Pune";"Bengaluru"}, RANDBETWEEN(1,5))</f>
        <v>Pune</v>
      </c>
      <c r="D921" s="4" t="str" cm="1">
        <f t="array" aca="1" ref="D921" ca="1">INDEX({"C-Class";"E-Class";"S-Class";"GLA";"GLC";"GLE";"GLS";"EQB"}, RANDBETWEEN(1,8))</f>
        <v>EQB</v>
      </c>
      <c r="E921" s="4" t="str">
        <f t="shared" ca="1" si="127"/>
        <v>EV</v>
      </c>
      <c r="F921" s="4">
        <f t="shared" ca="1" si="128"/>
        <v>2</v>
      </c>
      <c r="G921" s="8">
        <f t="shared" ca="1" si="129"/>
        <v>7057360</v>
      </c>
      <c r="H921" s="8">
        <f t="shared" ca="1" si="130"/>
        <v>14114720</v>
      </c>
      <c r="I921" s="8">
        <f t="shared" ca="1" si="131"/>
        <v>11009481.6</v>
      </c>
      <c r="J921" s="8">
        <f t="shared" ca="1" si="132"/>
        <v>3105238.4000000004</v>
      </c>
      <c r="K921" s="6">
        <f t="shared" ca="1" si="133"/>
        <v>0.22000000000000003</v>
      </c>
      <c r="L921" s="4" t="str" cm="1">
        <f t="array" aca="1" ref="L921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21" s="8">
        <f t="shared" ca="1" si="134"/>
        <v>4229</v>
      </c>
      <c r="N921" s="4" t="str" cm="1">
        <f t="array" aca="1" ref="N921" ca="1">INDEX({"New";"Repeat"}, RANDBETWEEN(1,2))</f>
        <v>Repeat</v>
      </c>
      <c r="O921" s="4" t="str" cm="1">
        <f t="array" aca="1" ref="O921" ca="1">INDEX({"Loan";"Cash";"Lease"}, RANDBETWEEN(1,3))</f>
        <v>Cash</v>
      </c>
    </row>
    <row r="922" spans="1:15" x14ac:dyDescent="0.2">
      <c r="A922" s="4">
        <v>920</v>
      </c>
      <c r="B922" s="5">
        <f t="shared" ca="1" si="126"/>
        <v>45474</v>
      </c>
      <c r="C922" s="4" t="str" cm="1">
        <f t="array" aca="1" ref="C922" ca="1">INDEX({"Cochin";"Delhi";"Mumbai";"Pune";"Bengaluru"}, RANDBETWEEN(1,5))</f>
        <v>Cochin</v>
      </c>
      <c r="D922" s="4" t="str" cm="1">
        <f t="array" aca="1" ref="D922" ca="1">INDEX({"C-Class";"E-Class";"S-Class";"GLA";"GLC";"GLE";"GLS";"EQB"}, RANDBETWEEN(1,8))</f>
        <v>GLS</v>
      </c>
      <c r="E922" s="4" t="str">
        <f t="shared" ca="1" si="127"/>
        <v>SUV</v>
      </c>
      <c r="F922" s="4">
        <f t="shared" ca="1" si="128"/>
        <v>4</v>
      </c>
      <c r="G922" s="8">
        <f t="shared" ca="1" si="129"/>
        <v>16484692</v>
      </c>
      <c r="H922" s="8">
        <f t="shared" ca="1" si="130"/>
        <v>65938768</v>
      </c>
      <c r="I922" s="8">
        <f t="shared" ca="1" si="131"/>
        <v>46157137.600000001</v>
      </c>
      <c r="J922" s="8">
        <f t="shared" ca="1" si="132"/>
        <v>19781630.399999999</v>
      </c>
      <c r="K922" s="6">
        <f t="shared" ca="1" si="133"/>
        <v>0.3</v>
      </c>
      <c r="L922" s="4" t="str" cm="1">
        <f t="array" aca="1" ref="L922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22" s="8">
        <f t="shared" ca="1" si="134"/>
        <v>22079</v>
      </c>
      <c r="N922" s="4" t="str" cm="1">
        <f t="array" aca="1" ref="N922" ca="1">INDEX({"New";"Repeat"}, RANDBETWEEN(1,2))</f>
        <v>New</v>
      </c>
      <c r="O922" s="4" t="str" cm="1">
        <f t="array" aca="1" ref="O922" ca="1">INDEX({"Loan";"Cash";"Lease"}, RANDBETWEEN(1,3))</f>
        <v>Cash</v>
      </c>
    </row>
    <row r="923" spans="1:15" x14ac:dyDescent="0.2">
      <c r="A923" s="4">
        <v>921</v>
      </c>
      <c r="B923" s="5">
        <f t="shared" ca="1" si="126"/>
        <v>45087</v>
      </c>
      <c r="C923" s="4" t="str" cm="1">
        <f t="array" aca="1" ref="C923" ca="1">INDEX({"Cochin";"Delhi";"Mumbai";"Pune";"Bengaluru"}, RANDBETWEEN(1,5))</f>
        <v>Cochin</v>
      </c>
      <c r="D923" s="4" t="str" cm="1">
        <f t="array" aca="1" ref="D923" ca="1">INDEX({"C-Class";"E-Class";"S-Class";"GLA";"GLC";"GLE";"GLS";"EQB"}, RANDBETWEEN(1,8))</f>
        <v>C-Class</v>
      </c>
      <c r="E923" s="4" t="str">
        <f t="shared" ca="1" si="127"/>
        <v>Sedan</v>
      </c>
      <c r="F923" s="4">
        <f t="shared" ca="1" si="128"/>
        <v>1</v>
      </c>
      <c r="G923" s="8">
        <f t="shared" ca="1" si="129"/>
        <v>5541062</v>
      </c>
      <c r="H923" s="8">
        <f t="shared" ca="1" si="130"/>
        <v>5541062</v>
      </c>
      <c r="I923" s="8">
        <f t="shared" ca="1" si="131"/>
        <v>4543670.84</v>
      </c>
      <c r="J923" s="8">
        <f t="shared" ca="1" si="132"/>
        <v>997391.16000000015</v>
      </c>
      <c r="K923" s="6">
        <f t="shared" ca="1" si="133"/>
        <v>0.18000000000000002</v>
      </c>
      <c r="L923" s="4" t="str" cm="1">
        <f t="array" aca="1" ref="L923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23" s="8">
        <f t="shared" ca="1" si="134"/>
        <v>6243</v>
      </c>
      <c r="N923" s="4" t="str" cm="1">
        <f t="array" aca="1" ref="N923" ca="1">INDEX({"New";"Repeat"}, RANDBETWEEN(1,2))</f>
        <v>Repeat</v>
      </c>
      <c r="O923" s="4" t="str" cm="1">
        <f t="array" aca="1" ref="O923" ca="1">INDEX({"Loan";"Cash";"Lease"}, RANDBETWEEN(1,3))</f>
        <v>Cash</v>
      </c>
    </row>
    <row r="924" spans="1:15" x14ac:dyDescent="0.2">
      <c r="A924" s="4">
        <v>922</v>
      </c>
      <c r="B924" s="5">
        <f t="shared" ca="1" si="126"/>
        <v>45828</v>
      </c>
      <c r="C924" s="4" t="str" cm="1">
        <f t="array" aca="1" ref="C924" ca="1">INDEX({"Cochin";"Delhi";"Mumbai";"Pune";"Bengaluru"}, RANDBETWEEN(1,5))</f>
        <v>Cochin</v>
      </c>
      <c r="D924" s="4" t="str" cm="1">
        <f t="array" aca="1" ref="D924" ca="1">INDEX({"C-Class";"E-Class";"S-Class";"GLA";"GLC";"GLE";"GLS";"EQB"}, RANDBETWEEN(1,8))</f>
        <v>E-Class</v>
      </c>
      <c r="E924" s="4" t="str">
        <f t="shared" ca="1" si="127"/>
        <v>Sedan</v>
      </c>
      <c r="F924" s="4">
        <f t="shared" ca="1" si="128"/>
        <v>5</v>
      </c>
      <c r="G924" s="8">
        <f t="shared" ca="1" si="129"/>
        <v>8420690</v>
      </c>
      <c r="H924" s="8">
        <f t="shared" ca="1" si="130"/>
        <v>42103450</v>
      </c>
      <c r="I924" s="8">
        <f t="shared" ca="1" si="131"/>
        <v>32419656.5</v>
      </c>
      <c r="J924" s="8">
        <f t="shared" ca="1" si="132"/>
        <v>9683793.5</v>
      </c>
      <c r="K924" s="6">
        <f t="shared" ca="1" si="133"/>
        <v>0.23</v>
      </c>
      <c r="L924" s="4" t="str" cm="1">
        <f t="array" aca="1" ref="L92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24" s="8">
        <f t="shared" ca="1" si="134"/>
        <v>12170</v>
      </c>
      <c r="N924" s="4" t="str" cm="1">
        <f t="array" aca="1" ref="N924" ca="1">INDEX({"New";"Repeat"}, RANDBETWEEN(1,2))</f>
        <v>New</v>
      </c>
      <c r="O924" s="4" t="str" cm="1">
        <f t="array" aca="1" ref="O924" ca="1">INDEX({"Loan";"Cash";"Lease"}, RANDBETWEEN(1,3))</f>
        <v>Lease</v>
      </c>
    </row>
    <row r="925" spans="1:15" x14ac:dyDescent="0.2">
      <c r="A925" s="4">
        <v>923</v>
      </c>
      <c r="B925" s="5">
        <f t="shared" ca="1" si="126"/>
        <v>44976</v>
      </c>
      <c r="C925" s="4" t="str" cm="1">
        <f t="array" aca="1" ref="C925" ca="1">INDEX({"Cochin";"Delhi";"Mumbai";"Pune";"Bengaluru"}, RANDBETWEEN(1,5))</f>
        <v>Mumbai</v>
      </c>
      <c r="D925" s="4" t="str" cm="1">
        <f t="array" aca="1" ref="D925" ca="1">INDEX({"C-Class";"E-Class";"S-Class";"GLA";"GLC";"GLE";"GLS";"EQB"}, RANDBETWEEN(1,8))</f>
        <v>E-Class</v>
      </c>
      <c r="E925" s="4" t="str">
        <f t="shared" ca="1" si="127"/>
        <v>Sedan</v>
      </c>
      <c r="F925" s="4">
        <f t="shared" ca="1" si="128"/>
        <v>3</v>
      </c>
      <c r="G925" s="8">
        <f t="shared" ca="1" si="129"/>
        <v>9098451</v>
      </c>
      <c r="H925" s="8">
        <f t="shared" ca="1" si="130"/>
        <v>27295353</v>
      </c>
      <c r="I925" s="8">
        <f t="shared" ca="1" si="131"/>
        <v>21836282.399999999</v>
      </c>
      <c r="J925" s="8">
        <f t="shared" ca="1" si="132"/>
        <v>5459070.6000000015</v>
      </c>
      <c r="K925" s="6">
        <f t="shared" ca="1" si="133"/>
        <v>0.20000000000000007</v>
      </c>
      <c r="L925" s="4" t="str" cm="1">
        <f t="array" aca="1" ref="L92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25" s="8">
        <f t="shared" ca="1" si="134"/>
        <v>24562</v>
      </c>
      <c r="N925" s="4" t="str" cm="1">
        <f t="array" aca="1" ref="N925" ca="1">INDEX({"New";"Repeat"}, RANDBETWEEN(1,2))</f>
        <v>New</v>
      </c>
      <c r="O925" s="4" t="str" cm="1">
        <f t="array" aca="1" ref="O925" ca="1">INDEX({"Loan";"Cash";"Lease"}, RANDBETWEEN(1,3))</f>
        <v>Lease</v>
      </c>
    </row>
    <row r="926" spans="1:15" x14ac:dyDescent="0.2">
      <c r="A926" s="4">
        <v>924</v>
      </c>
      <c r="B926" s="5">
        <f t="shared" ca="1" si="126"/>
        <v>45806</v>
      </c>
      <c r="C926" s="4" t="str" cm="1">
        <f t="array" aca="1" ref="C926" ca="1">INDEX({"Cochin";"Delhi";"Mumbai";"Pune";"Bengaluru"}, RANDBETWEEN(1,5))</f>
        <v>Mumbai</v>
      </c>
      <c r="D926" s="4" t="str" cm="1">
        <f t="array" aca="1" ref="D926" ca="1">INDEX({"C-Class";"E-Class";"S-Class";"GLA";"GLC";"GLE";"GLS";"EQB"}, RANDBETWEEN(1,8))</f>
        <v>GLA</v>
      </c>
      <c r="E926" s="4" t="str">
        <f t="shared" ca="1" si="127"/>
        <v>SUV</v>
      </c>
      <c r="F926" s="4">
        <f t="shared" ca="1" si="128"/>
        <v>4</v>
      </c>
      <c r="G926" s="8">
        <f t="shared" ca="1" si="129"/>
        <v>5281750</v>
      </c>
      <c r="H926" s="8">
        <f t="shared" ca="1" si="130"/>
        <v>21127000</v>
      </c>
      <c r="I926" s="8">
        <f t="shared" ca="1" si="131"/>
        <v>17957950</v>
      </c>
      <c r="J926" s="8">
        <f t="shared" ca="1" si="132"/>
        <v>3169050</v>
      </c>
      <c r="K926" s="6">
        <f t="shared" ca="1" si="133"/>
        <v>0.15</v>
      </c>
      <c r="L926" s="4" t="str" cm="1">
        <f t="array" aca="1" ref="L926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26" s="8">
        <f t="shared" ca="1" si="134"/>
        <v>11038</v>
      </c>
      <c r="N926" s="4" t="str" cm="1">
        <f t="array" aca="1" ref="N926" ca="1">INDEX({"New";"Repeat"}, RANDBETWEEN(1,2))</f>
        <v>New</v>
      </c>
      <c r="O926" s="4" t="str" cm="1">
        <f t="array" aca="1" ref="O926" ca="1">INDEX({"Loan";"Cash";"Lease"}, RANDBETWEEN(1,3))</f>
        <v>Lease</v>
      </c>
    </row>
    <row r="927" spans="1:15" x14ac:dyDescent="0.2">
      <c r="A927" s="4">
        <v>925</v>
      </c>
      <c r="B927" s="5">
        <f t="shared" ca="1" si="126"/>
        <v>45630</v>
      </c>
      <c r="C927" s="4" t="str" cm="1">
        <f t="array" aca="1" ref="C927" ca="1">INDEX({"Cochin";"Delhi";"Mumbai";"Pune";"Bengaluru"}, RANDBETWEEN(1,5))</f>
        <v>Mumbai</v>
      </c>
      <c r="D927" s="4" t="str" cm="1">
        <f t="array" aca="1" ref="D927" ca="1">INDEX({"C-Class";"E-Class";"S-Class";"GLA";"GLC";"GLE";"GLS";"EQB"}, RANDBETWEEN(1,8))</f>
        <v>EQB</v>
      </c>
      <c r="E927" s="4" t="str">
        <f t="shared" ca="1" si="127"/>
        <v>EV</v>
      </c>
      <c r="F927" s="4">
        <f t="shared" ca="1" si="128"/>
        <v>2</v>
      </c>
      <c r="G927" s="8">
        <f t="shared" ca="1" si="129"/>
        <v>7682548</v>
      </c>
      <c r="H927" s="8">
        <f t="shared" ca="1" si="130"/>
        <v>15365096</v>
      </c>
      <c r="I927" s="8">
        <f t="shared" ca="1" si="131"/>
        <v>13060331.6</v>
      </c>
      <c r="J927" s="8">
        <f t="shared" ca="1" si="132"/>
        <v>2304764.4000000004</v>
      </c>
      <c r="K927" s="6">
        <f t="shared" ca="1" si="133"/>
        <v>0.15000000000000002</v>
      </c>
      <c r="L927" s="4" t="str" cm="1">
        <f t="array" aca="1" ref="L927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27" s="8">
        <f t="shared" ca="1" si="134"/>
        <v>15759</v>
      </c>
      <c r="N927" s="4" t="str" cm="1">
        <f t="array" aca="1" ref="N927" ca="1">INDEX({"New";"Repeat"}, RANDBETWEEN(1,2))</f>
        <v>New</v>
      </c>
      <c r="O927" s="4" t="str" cm="1">
        <f t="array" aca="1" ref="O927" ca="1">INDEX({"Loan";"Cash";"Lease"}, RANDBETWEEN(1,3))</f>
        <v>Cash</v>
      </c>
    </row>
    <row r="928" spans="1:15" x14ac:dyDescent="0.2">
      <c r="A928" s="4">
        <v>926</v>
      </c>
      <c r="B928" s="5">
        <f t="shared" ca="1" si="126"/>
        <v>45746</v>
      </c>
      <c r="C928" s="4" t="str" cm="1">
        <f t="array" aca="1" ref="C928" ca="1">INDEX({"Cochin";"Delhi";"Mumbai";"Pune";"Bengaluru"}, RANDBETWEEN(1,5))</f>
        <v>Mumbai</v>
      </c>
      <c r="D928" s="4" t="str" cm="1">
        <f t="array" aca="1" ref="D928" ca="1">INDEX({"C-Class";"E-Class";"S-Class";"GLA";"GLC";"GLE";"GLS";"EQB"}, RANDBETWEEN(1,8))</f>
        <v>GLS</v>
      </c>
      <c r="E928" s="4" t="str">
        <f t="shared" ca="1" si="127"/>
        <v>SUV</v>
      </c>
      <c r="F928" s="4">
        <f t="shared" ca="1" si="128"/>
        <v>1</v>
      </c>
      <c r="G928" s="8">
        <f t="shared" ca="1" si="129"/>
        <v>15834862</v>
      </c>
      <c r="H928" s="8">
        <f t="shared" ca="1" si="130"/>
        <v>15834862</v>
      </c>
      <c r="I928" s="8">
        <f t="shared" ca="1" si="131"/>
        <v>12667889.6</v>
      </c>
      <c r="J928" s="8">
        <f t="shared" ca="1" si="132"/>
        <v>3166972.4000000004</v>
      </c>
      <c r="K928" s="6">
        <f t="shared" ca="1" si="133"/>
        <v>0.2</v>
      </c>
      <c r="L928" s="4" t="str" cm="1">
        <f t="array" aca="1" ref="L928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28" s="8">
        <f t="shared" ca="1" si="134"/>
        <v>7265</v>
      </c>
      <c r="N928" s="4" t="str" cm="1">
        <f t="array" aca="1" ref="N928" ca="1">INDEX({"New";"Repeat"}, RANDBETWEEN(1,2))</f>
        <v>Repeat</v>
      </c>
      <c r="O928" s="4" t="str" cm="1">
        <f t="array" aca="1" ref="O928" ca="1">INDEX({"Loan";"Cash";"Lease"}, RANDBETWEEN(1,3))</f>
        <v>Loan</v>
      </c>
    </row>
    <row r="929" spans="1:15" x14ac:dyDescent="0.2">
      <c r="A929" s="4">
        <v>927</v>
      </c>
      <c r="B929" s="5">
        <f t="shared" ca="1" si="126"/>
        <v>45343</v>
      </c>
      <c r="C929" s="4" t="str" cm="1">
        <f t="array" aca="1" ref="C929" ca="1">INDEX({"Cochin";"Delhi";"Mumbai";"Pune";"Bengaluru"}, RANDBETWEEN(1,5))</f>
        <v>Mumbai</v>
      </c>
      <c r="D929" s="4" t="str" cm="1">
        <f t="array" aca="1" ref="D929" ca="1">INDEX({"C-Class";"E-Class";"S-Class";"GLA";"GLC";"GLE";"GLS";"EQB"}, RANDBETWEEN(1,8))</f>
        <v>S-Class</v>
      </c>
      <c r="E929" s="4" t="str">
        <f t="shared" ca="1" si="127"/>
        <v>Sedan</v>
      </c>
      <c r="F929" s="4">
        <f t="shared" ca="1" si="128"/>
        <v>2</v>
      </c>
      <c r="G929" s="8">
        <f t="shared" ca="1" si="129"/>
        <v>19597402</v>
      </c>
      <c r="H929" s="8">
        <f t="shared" ca="1" si="130"/>
        <v>39194804</v>
      </c>
      <c r="I929" s="8">
        <f t="shared" ca="1" si="131"/>
        <v>29396103</v>
      </c>
      <c r="J929" s="8">
        <f t="shared" ca="1" si="132"/>
        <v>9798701</v>
      </c>
      <c r="K929" s="6">
        <f t="shared" ca="1" si="133"/>
        <v>0.25</v>
      </c>
      <c r="L929" s="4" t="str" cm="1">
        <f t="array" aca="1" ref="L929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29" s="8">
        <f t="shared" ca="1" si="134"/>
        <v>13167</v>
      </c>
      <c r="N929" s="4" t="str" cm="1">
        <f t="array" aca="1" ref="N929" ca="1">INDEX({"New";"Repeat"}, RANDBETWEEN(1,2))</f>
        <v>New</v>
      </c>
      <c r="O929" s="4" t="str" cm="1">
        <f t="array" aca="1" ref="O929" ca="1">INDEX({"Loan";"Cash";"Lease"}, RANDBETWEEN(1,3))</f>
        <v>Cash</v>
      </c>
    </row>
    <row r="930" spans="1:15" x14ac:dyDescent="0.2">
      <c r="A930" s="4">
        <v>928</v>
      </c>
      <c r="B930" s="5">
        <f t="shared" ca="1" si="126"/>
        <v>45895</v>
      </c>
      <c r="C930" s="4" t="str" cm="1">
        <f t="array" aca="1" ref="C930" ca="1">INDEX({"Cochin";"Delhi";"Mumbai";"Pune";"Bengaluru"}, RANDBETWEEN(1,5))</f>
        <v>Delhi</v>
      </c>
      <c r="D930" s="4" t="str" cm="1">
        <f t="array" aca="1" ref="D930" ca="1">INDEX({"C-Class";"E-Class";"S-Class";"GLA";"GLC";"GLE";"GLS";"EQB"}, RANDBETWEEN(1,8))</f>
        <v>S-Class</v>
      </c>
      <c r="E930" s="4" t="str">
        <f t="shared" ca="1" si="127"/>
        <v>Sedan</v>
      </c>
      <c r="F930" s="4">
        <f t="shared" ca="1" si="128"/>
        <v>3</v>
      </c>
      <c r="G930" s="8">
        <f t="shared" ca="1" si="129"/>
        <v>15848124</v>
      </c>
      <c r="H930" s="8">
        <f t="shared" ca="1" si="130"/>
        <v>47544372</v>
      </c>
      <c r="I930" s="8">
        <f t="shared" ca="1" si="131"/>
        <v>34707391.560000002</v>
      </c>
      <c r="J930" s="8">
        <f t="shared" ca="1" si="132"/>
        <v>12836980.439999998</v>
      </c>
      <c r="K930" s="6">
        <f t="shared" ca="1" si="133"/>
        <v>0.26999999999999996</v>
      </c>
      <c r="L930" s="4" t="str" cm="1">
        <f t="array" aca="1" ref="L930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30" s="8">
        <f t="shared" ca="1" si="134"/>
        <v>22888</v>
      </c>
      <c r="N930" s="4" t="str" cm="1">
        <f t="array" aca="1" ref="N930" ca="1">INDEX({"New";"Repeat"}, RANDBETWEEN(1,2))</f>
        <v>New</v>
      </c>
      <c r="O930" s="4" t="str" cm="1">
        <f t="array" aca="1" ref="O930" ca="1">INDEX({"Loan";"Cash";"Lease"}, RANDBETWEEN(1,3))</f>
        <v>Cash</v>
      </c>
    </row>
    <row r="931" spans="1:15" x14ac:dyDescent="0.2">
      <c r="A931" s="4">
        <v>929</v>
      </c>
      <c r="B931" s="5">
        <f t="shared" ca="1" si="126"/>
        <v>45506</v>
      </c>
      <c r="C931" s="4" t="str" cm="1">
        <f t="array" aca="1" ref="C931" ca="1">INDEX({"Cochin";"Delhi";"Mumbai";"Pune";"Bengaluru"}, RANDBETWEEN(1,5))</f>
        <v>Delhi</v>
      </c>
      <c r="D931" s="4" t="str" cm="1">
        <f t="array" aca="1" ref="D931" ca="1">INDEX({"C-Class";"E-Class";"S-Class";"GLA";"GLC";"GLE";"GLS";"EQB"}, RANDBETWEEN(1,8))</f>
        <v>GLA</v>
      </c>
      <c r="E931" s="4" t="str">
        <f t="shared" ca="1" si="127"/>
        <v>SUV</v>
      </c>
      <c r="F931" s="4">
        <f t="shared" ca="1" si="128"/>
        <v>5</v>
      </c>
      <c r="G931" s="8">
        <f t="shared" ca="1" si="129"/>
        <v>5347540</v>
      </c>
      <c r="H931" s="8">
        <f t="shared" ca="1" si="130"/>
        <v>26737700</v>
      </c>
      <c r="I931" s="8">
        <f t="shared" ca="1" si="131"/>
        <v>22192291</v>
      </c>
      <c r="J931" s="8">
        <f t="shared" ca="1" si="132"/>
        <v>4545409</v>
      </c>
      <c r="K931" s="6">
        <f t="shared" ca="1" si="133"/>
        <v>0.17</v>
      </c>
      <c r="L931" s="4" t="str" cm="1">
        <f t="array" aca="1" ref="L931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31" s="8">
        <f t="shared" ca="1" si="134"/>
        <v>5114</v>
      </c>
      <c r="N931" s="4" t="str" cm="1">
        <f t="array" aca="1" ref="N931" ca="1">INDEX({"New";"Repeat"}, RANDBETWEEN(1,2))</f>
        <v>Repeat</v>
      </c>
      <c r="O931" s="4" t="str" cm="1">
        <f t="array" aca="1" ref="O931" ca="1">INDEX({"Loan";"Cash";"Lease"}, RANDBETWEEN(1,3))</f>
        <v>Loan</v>
      </c>
    </row>
    <row r="932" spans="1:15" x14ac:dyDescent="0.2">
      <c r="A932" s="4">
        <v>930</v>
      </c>
      <c r="B932" s="5">
        <f t="shared" ca="1" si="126"/>
        <v>45516</v>
      </c>
      <c r="C932" s="4" t="str" cm="1">
        <f t="array" aca="1" ref="C932" ca="1">INDEX({"Cochin";"Delhi";"Mumbai";"Pune";"Bengaluru"}, RANDBETWEEN(1,5))</f>
        <v>Bengaluru</v>
      </c>
      <c r="D932" s="4" t="str" cm="1">
        <f t="array" aca="1" ref="D932" ca="1">INDEX({"C-Class";"E-Class";"S-Class";"GLA";"GLC";"GLE";"GLS";"EQB"}, RANDBETWEEN(1,8))</f>
        <v>C-Class</v>
      </c>
      <c r="E932" s="4" t="str">
        <f t="shared" ca="1" si="127"/>
        <v>Sedan</v>
      </c>
      <c r="F932" s="4">
        <f t="shared" ca="1" si="128"/>
        <v>5</v>
      </c>
      <c r="G932" s="8">
        <f t="shared" ca="1" si="129"/>
        <v>5779870</v>
      </c>
      <c r="H932" s="8">
        <f t="shared" ca="1" si="130"/>
        <v>28899350</v>
      </c>
      <c r="I932" s="8">
        <f t="shared" ca="1" si="131"/>
        <v>23119480</v>
      </c>
      <c r="J932" s="8">
        <f t="shared" ca="1" si="132"/>
        <v>5779870</v>
      </c>
      <c r="K932" s="6">
        <f t="shared" ca="1" si="133"/>
        <v>0.2</v>
      </c>
      <c r="L932" s="4" t="str" cm="1">
        <f t="array" aca="1" ref="L93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32" s="8">
        <f t="shared" ca="1" si="134"/>
        <v>7561</v>
      </c>
      <c r="N932" s="4" t="str" cm="1">
        <f t="array" aca="1" ref="N932" ca="1">INDEX({"New";"Repeat"}, RANDBETWEEN(1,2))</f>
        <v>Repeat</v>
      </c>
      <c r="O932" s="4" t="str" cm="1">
        <f t="array" aca="1" ref="O932" ca="1">INDEX({"Loan";"Cash";"Lease"}, RANDBETWEEN(1,3))</f>
        <v>Lease</v>
      </c>
    </row>
    <row r="933" spans="1:15" x14ac:dyDescent="0.2">
      <c r="A933" s="4">
        <v>931</v>
      </c>
      <c r="B933" s="5">
        <f t="shared" ca="1" si="126"/>
        <v>45506</v>
      </c>
      <c r="C933" s="4" t="str" cm="1">
        <f t="array" aca="1" ref="C933" ca="1">INDEX({"Cochin";"Delhi";"Mumbai";"Pune";"Bengaluru"}, RANDBETWEEN(1,5))</f>
        <v>Pune</v>
      </c>
      <c r="D933" s="4" t="str" cm="1">
        <f t="array" aca="1" ref="D933" ca="1">INDEX({"C-Class";"E-Class";"S-Class";"GLA";"GLC";"GLE";"GLS";"EQB"}, RANDBETWEEN(1,8))</f>
        <v>GLE</v>
      </c>
      <c r="E933" s="4" t="str">
        <f t="shared" ca="1" si="127"/>
        <v>SUV</v>
      </c>
      <c r="F933" s="4">
        <f t="shared" ca="1" si="128"/>
        <v>5</v>
      </c>
      <c r="G933" s="8">
        <f t="shared" ca="1" si="129"/>
        <v>10027195</v>
      </c>
      <c r="H933" s="8">
        <f t="shared" ca="1" si="130"/>
        <v>50135975</v>
      </c>
      <c r="I933" s="8">
        <f t="shared" ca="1" si="131"/>
        <v>35596542.25</v>
      </c>
      <c r="J933" s="8">
        <f t="shared" ca="1" si="132"/>
        <v>14539432.75</v>
      </c>
      <c r="K933" s="6">
        <f t="shared" ca="1" si="133"/>
        <v>0.28999999999999998</v>
      </c>
      <c r="L933" s="4" t="str" cm="1">
        <f t="array" aca="1" ref="L933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33" s="8">
        <f t="shared" ca="1" si="134"/>
        <v>5618</v>
      </c>
      <c r="N933" s="4" t="str" cm="1">
        <f t="array" aca="1" ref="N933" ca="1">INDEX({"New";"Repeat"}, RANDBETWEEN(1,2))</f>
        <v>Repeat</v>
      </c>
      <c r="O933" s="4" t="str" cm="1">
        <f t="array" aca="1" ref="O933" ca="1">INDEX({"Loan";"Cash";"Lease"}, RANDBETWEEN(1,3))</f>
        <v>Loan</v>
      </c>
    </row>
    <row r="934" spans="1:15" x14ac:dyDescent="0.2">
      <c r="A934" s="4">
        <v>932</v>
      </c>
      <c r="B934" s="5">
        <f t="shared" ca="1" si="126"/>
        <v>44934</v>
      </c>
      <c r="C934" s="4" t="str" cm="1">
        <f t="array" aca="1" ref="C934" ca="1">INDEX({"Cochin";"Delhi";"Mumbai";"Pune";"Bengaluru"}, RANDBETWEEN(1,5))</f>
        <v>Cochin</v>
      </c>
      <c r="D934" s="4" t="str" cm="1">
        <f t="array" aca="1" ref="D934" ca="1">INDEX({"C-Class";"E-Class";"S-Class";"GLA";"GLC";"GLE";"GLS";"EQB"}, RANDBETWEEN(1,8))</f>
        <v>GLC</v>
      </c>
      <c r="E934" s="4" t="str">
        <f t="shared" ca="1" si="127"/>
        <v>SUV</v>
      </c>
      <c r="F934" s="4">
        <f t="shared" ca="1" si="128"/>
        <v>5</v>
      </c>
      <c r="G934" s="8">
        <f t="shared" ca="1" si="129"/>
        <v>7278117</v>
      </c>
      <c r="H934" s="8">
        <f t="shared" ca="1" si="130"/>
        <v>36390585</v>
      </c>
      <c r="I934" s="8">
        <f t="shared" ca="1" si="131"/>
        <v>26201221.199999999</v>
      </c>
      <c r="J934" s="8">
        <f t="shared" ca="1" si="132"/>
        <v>10189363.800000001</v>
      </c>
      <c r="K934" s="6">
        <f t="shared" ca="1" si="133"/>
        <v>0.28000000000000003</v>
      </c>
      <c r="L934" s="4" t="str" cm="1">
        <f t="array" aca="1" ref="L934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34" s="8">
        <f t="shared" ca="1" si="134"/>
        <v>3227</v>
      </c>
      <c r="N934" s="4" t="str" cm="1">
        <f t="array" aca="1" ref="N934" ca="1">INDEX({"New";"Repeat"}, RANDBETWEEN(1,2))</f>
        <v>Repeat</v>
      </c>
      <c r="O934" s="4" t="str" cm="1">
        <f t="array" aca="1" ref="O934" ca="1">INDEX({"Loan";"Cash";"Lease"}, RANDBETWEEN(1,3))</f>
        <v>Loan</v>
      </c>
    </row>
    <row r="935" spans="1:15" x14ac:dyDescent="0.2">
      <c r="A935" s="4">
        <v>933</v>
      </c>
      <c r="B935" s="5">
        <f t="shared" ca="1" si="126"/>
        <v>45357</v>
      </c>
      <c r="C935" s="4" t="str" cm="1">
        <f t="array" aca="1" ref="C935" ca="1">INDEX({"Cochin";"Delhi";"Mumbai";"Pune";"Bengaluru"}, RANDBETWEEN(1,5))</f>
        <v>Cochin</v>
      </c>
      <c r="D935" s="4" t="str" cm="1">
        <f t="array" aca="1" ref="D935" ca="1">INDEX({"C-Class";"E-Class";"S-Class";"GLA";"GLC";"GLE";"GLS";"EQB"}, RANDBETWEEN(1,8))</f>
        <v>GLS</v>
      </c>
      <c r="E935" s="4" t="str">
        <f t="shared" ca="1" si="127"/>
        <v>SUV</v>
      </c>
      <c r="F935" s="4">
        <f t="shared" ca="1" si="128"/>
        <v>1</v>
      </c>
      <c r="G935" s="8">
        <f t="shared" ca="1" si="129"/>
        <v>17998853</v>
      </c>
      <c r="H935" s="8">
        <f t="shared" ca="1" si="130"/>
        <v>17998853</v>
      </c>
      <c r="I935" s="8">
        <f t="shared" ca="1" si="131"/>
        <v>14399082.4</v>
      </c>
      <c r="J935" s="8">
        <f t="shared" ca="1" si="132"/>
        <v>3599770.5999999996</v>
      </c>
      <c r="K935" s="6">
        <f t="shared" ca="1" si="133"/>
        <v>0.19999999999999998</v>
      </c>
      <c r="L935" s="4" t="str" cm="1">
        <f t="array" aca="1" ref="L935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35" s="8">
        <f t="shared" ca="1" si="134"/>
        <v>6991</v>
      </c>
      <c r="N935" s="4" t="str" cm="1">
        <f t="array" aca="1" ref="N935" ca="1">INDEX({"New";"Repeat"}, RANDBETWEEN(1,2))</f>
        <v>Repeat</v>
      </c>
      <c r="O935" s="4" t="str" cm="1">
        <f t="array" aca="1" ref="O935" ca="1">INDEX({"Loan";"Cash";"Lease"}, RANDBETWEEN(1,3))</f>
        <v>Loan</v>
      </c>
    </row>
    <row r="936" spans="1:15" x14ac:dyDescent="0.2">
      <c r="A936" s="4">
        <v>934</v>
      </c>
      <c r="B936" s="5">
        <f t="shared" ca="1" si="126"/>
        <v>45723</v>
      </c>
      <c r="C936" s="4" t="str" cm="1">
        <f t="array" aca="1" ref="C936" ca="1">INDEX({"Cochin";"Delhi";"Mumbai";"Pune";"Bengaluru"}, RANDBETWEEN(1,5))</f>
        <v>Bengaluru</v>
      </c>
      <c r="D936" s="4" t="str" cm="1">
        <f t="array" aca="1" ref="D936" ca="1">INDEX({"C-Class";"E-Class";"S-Class";"GLA";"GLC";"GLE";"GLS";"EQB"}, RANDBETWEEN(1,8))</f>
        <v>GLS</v>
      </c>
      <c r="E936" s="4" t="str">
        <f t="shared" ca="1" si="127"/>
        <v>SUV</v>
      </c>
      <c r="F936" s="4">
        <f t="shared" ca="1" si="128"/>
        <v>2</v>
      </c>
      <c r="G936" s="8">
        <f t="shared" ca="1" si="129"/>
        <v>14686512</v>
      </c>
      <c r="H936" s="8">
        <f t="shared" ca="1" si="130"/>
        <v>29373024</v>
      </c>
      <c r="I936" s="8">
        <f t="shared" ca="1" si="131"/>
        <v>22029768</v>
      </c>
      <c r="J936" s="8">
        <f t="shared" ca="1" si="132"/>
        <v>7343256</v>
      </c>
      <c r="K936" s="6">
        <f t="shared" ca="1" si="133"/>
        <v>0.25</v>
      </c>
      <c r="L936" s="4" t="str" cm="1">
        <f t="array" aca="1" ref="L936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36" s="8">
        <f t="shared" ca="1" si="134"/>
        <v>5588</v>
      </c>
      <c r="N936" s="4" t="str" cm="1">
        <f t="array" aca="1" ref="N936" ca="1">INDEX({"New";"Repeat"}, RANDBETWEEN(1,2))</f>
        <v>Repeat</v>
      </c>
      <c r="O936" s="4" t="str" cm="1">
        <f t="array" aca="1" ref="O936" ca="1">INDEX({"Loan";"Cash";"Lease"}, RANDBETWEEN(1,3))</f>
        <v>Loan</v>
      </c>
    </row>
    <row r="937" spans="1:15" x14ac:dyDescent="0.2">
      <c r="A937" s="4">
        <v>935</v>
      </c>
      <c r="B937" s="5">
        <f t="shared" ca="1" si="126"/>
        <v>45132</v>
      </c>
      <c r="C937" s="4" t="str" cm="1">
        <f t="array" aca="1" ref="C937" ca="1">INDEX({"Cochin";"Delhi";"Mumbai";"Pune";"Bengaluru"}, RANDBETWEEN(1,5))</f>
        <v>Mumbai</v>
      </c>
      <c r="D937" s="4" t="str" cm="1">
        <f t="array" aca="1" ref="D937" ca="1">INDEX({"C-Class";"E-Class";"S-Class";"GLA";"GLC";"GLE";"GLS";"EQB"}, RANDBETWEEN(1,8))</f>
        <v>GLS</v>
      </c>
      <c r="E937" s="4" t="str">
        <f t="shared" ca="1" si="127"/>
        <v>SUV</v>
      </c>
      <c r="F937" s="4">
        <f t="shared" ca="1" si="128"/>
        <v>5</v>
      </c>
      <c r="G937" s="8">
        <f t="shared" ca="1" si="129"/>
        <v>14950236</v>
      </c>
      <c r="H937" s="8">
        <f t="shared" ca="1" si="130"/>
        <v>74751180</v>
      </c>
      <c r="I937" s="8">
        <f t="shared" ca="1" si="131"/>
        <v>53073337.799999997</v>
      </c>
      <c r="J937" s="8">
        <f t="shared" ca="1" si="132"/>
        <v>21677842.200000003</v>
      </c>
      <c r="K937" s="6">
        <f t="shared" ca="1" si="133"/>
        <v>0.29000000000000004</v>
      </c>
      <c r="L937" s="4" t="str" cm="1">
        <f t="array" aca="1" ref="L93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37" s="8">
        <f t="shared" ca="1" si="134"/>
        <v>4273</v>
      </c>
      <c r="N937" s="4" t="str" cm="1">
        <f t="array" aca="1" ref="N937" ca="1">INDEX({"New";"Repeat"}, RANDBETWEEN(1,2))</f>
        <v>Repeat</v>
      </c>
      <c r="O937" s="4" t="str" cm="1">
        <f t="array" aca="1" ref="O937" ca="1">INDEX({"Loan";"Cash";"Lease"}, RANDBETWEEN(1,3))</f>
        <v>Loan</v>
      </c>
    </row>
    <row r="938" spans="1:15" x14ac:dyDescent="0.2">
      <c r="A938" s="4">
        <v>936</v>
      </c>
      <c r="B938" s="5">
        <f t="shared" ca="1" si="126"/>
        <v>45718</v>
      </c>
      <c r="C938" s="4" t="str" cm="1">
        <f t="array" aca="1" ref="C938" ca="1">INDEX({"Cochin";"Delhi";"Mumbai";"Pune";"Bengaluru"}, RANDBETWEEN(1,5))</f>
        <v>Delhi</v>
      </c>
      <c r="D938" s="4" t="str" cm="1">
        <f t="array" aca="1" ref="D938" ca="1">INDEX({"C-Class";"E-Class";"S-Class";"GLA";"GLC";"GLE";"GLS";"EQB"}, RANDBETWEEN(1,8))</f>
        <v>C-Class</v>
      </c>
      <c r="E938" s="4" t="str">
        <f t="shared" ca="1" si="127"/>
        <v>Sedan</v>
      </c>
      <c r="F938" s="4">
        <f t="shared" ca="1" si="128"/>
        <v>5</v>
      </c>
      <c r="G938" s="8">
        <f t="shared" ca="1" si="129"/>
        <v>5845195</v>
      </c>
      <c r="H938" s="8">
        <f t="shared" ca="1" si="130"/>
        <v>29225975</v>
      </c>
      <c r="I938" s="8">
        <f t="shared" ca="1" si="131"/>
        <v>20750442.25</v>
      </c>
      <c r="J938" s="8">
        <f t="shared" ca="1" si="132"/>
        <v>8475532.75</v>
      </c>
      <c r="K938" s="6">
        <f t="shared" ca="1" si="133"/>
        <v>0.28999999999999998</v>
      </c>
      <c r="L938" s="4" t="str" cm="1">
        <f t="array" aca="1" ref="L938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38" s="8">
        <f t="shared" ca="1" si="134"/>
        <v>22964</v>
      </c>
      <c r="N938" s="4" t="str" cm="1">
        <f t="array" aca="1" ref="N938" ca="1">INDEX({"New";"Repeat"}, RANDBETWEEN(1,2))</f>
        <v>New</v>
      </c>
      <c r="O938" s="4" t="str" cm="1">
        <f t="array" aca="1" ref="O938" ca="1">INDEX({"Loan";"Cash";"Lease"}, RANDBETWEEN(1,3))</f>
        <v>Loan</v>
      </c>
    </row>
    <row r="939" spans="1:15" x14ac:dyDescent="0.2">
      <c r="A939" s="4">
        <v>937</v>
      </c>
      <c r="B939" s="5">
        <f t="shared" ca="1" si="126"/>
        <v>45484</v>
      </c>
      <c r="C939" s="4" t="str" cm="1">
        <f t="array" aca="1" ref="C939" ca="1">INDEX({"Cochin";"Delhi";"Mumbai";"Pune";"Bengaluru"}, RANDBETWEEN(1,5))</f>
        <v>Delhi</v>
      </c>
      <c r="D939" s="4" t="str" cm="1">
        <f t="array" aca="1" ref="D939" ca="1">INDEX({"C-Class";"E-Class";"S-Class";"GLA";"GLC";"GLE";"GLS";"EQB"}, RANDBETWEEN(1,8))</f>
        <v>EQB</v>
      </c>
      <c r="E939" s="4" t="str">
        <f t="shared" ca="1" si="127"/>
        <v>EV</v>
      </c>
      <c r="F939" s="4">
        <f t="shared" ca="1" si="128"/>
        <v>4</v>
      </c>
      <c r="G939" s="8">
        <f t="shared" ca="1" si="129"/>
        <v>7818942</v>
      </c>
      <c r="H939" s="8">
        <f t="shared" ca="1" si="130"/>
        <v>31275768</v>
      </c>
      <c r="I939" s="8">
        <f t="shared" ca="1" si="131"/>
        <v>24082341.359999999</v>
      </c>
      <c r="J939" s="8">
        <f t="shared" ca="1" si="132"/>
        <v>7193426.6400000006</v>
      </c>
      <c r="K939" s="6">
        <f t="shared" ca="1" si="133"/>
        <v>0.23</v>
      </c>
      <c r="L939" s="4" t="str" cm="1">
        <f t="array" aca="1" ref="L93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39" s="8">
        <f t="shared" ca="1" si="134"/>
        <v>21758</v>
      </c>
      <c r="N939" s="4" t="str" cm="1">
        <f t="array" aca="1" ref="N939" ca="1">INDEX({"New";"Repeat"}, RANDBETWEEN(1,2))</f>
        <v>New</v>
      </c>
      <c r="O939" s="4" t="str" cm="1">
        <f t="array" aca="1" ref="O939" ca="1">INDEX({"Loan";"Cash";"Lease"}, RANDBETWEEN(1,3))</f>
        <v>Cash</v>
      </c>
    </row>
    <row r="940" spans="1:15" x14ac:dyDescent="0.2">
      <c r="A940" s="4">
        <v>938</v>
      </c>
      <c r="B940" s="5">
        <f t="shared" ca="1" si="126"/>
        <v>45139</v>
      </c>
      <c r="C940" s="4" t="str" cm="1">
        <f t="array" aca="1" ref="C940" ca="1">INDEX({"Cochin";"Delhi";"Mumbai";"Pune";"Bengaluru"}, RANDBETWEEN(1,5))</f>
        <v>Cochin</v>
      </c>
      <c r="D940" s="4" t="str" cm="1">
        <f t="array" aca="1" ref="D940" ca="1">INDEX({"C-Class";"E-Class";"S-Class";"GLA";"GLC";"GLE";"GLS";"EQB"}, RANDBETWEEN(1,8))</f>
        <v>GLA</v>
      </c>
      <c r="E940" s="4" t="str">
        <f t="shared" ca="1" si="127"/>
        <v>SUV</v>
      </c>
      <c r="F940" s="4">
        <f t="shared" ca="1" si="128"/>
        <v>5</v>
      </c>
      <c r="G940" s="8">
        <f t="shared" ca="1" si="129"/>
        <v>5432910</v>
      </c>
      <c r="H940" s="8">
        <f t="shared" ca="1" si="130"/>
        <v>27164550</v>
      </c>
      <c r="I940" s="8">
        <f t="shared" ca="1" si="131"/>
        <v>22003285.5</v>
      </c>
      <c r="J940" s="8">
        <f t="shared" ca="1" si="132"/>
        <v>5161264.5</v>
      </c>
      <c r="K940" s="6">
        <f t="shared" ca="1" si="133"/>
        <v>0.19</v>
      </c>
      <c r="L940" s="4" t="str" cm="1">
        <f t="array" aca="1" ref="L940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40" s="8">
        <f t="shared" ca="1" si="134"/>
        <v>20657</v>
      </c>
      <c r="N940" s="4" t="str" cm="1">
        <f t="array" aca="1" ref="N940" ca="1">INDEX({"New";"Repeat"}, RANDBETWEEN(1,2))</f>
        <v>New</v>
      </c>
      <c r="O940" s="4" t="str" cm="1">
        <f t="array" aca="1" ref="O940" ca="1">INDEX({"Loan";"Cash";"Lease"}, RANDBETWEEN(1,3))</f>
        <v>Loan</v>
      </c>
    </row>
    <row r="941" spans="1:15" x14ac:dyDescent="0.2">
      <c r="A941" s="4">
        <v>939</v>
      </c>
      <c r="B941" s="5">
        <f t="shared" ca="1" si="126"/>
        <v>45263</v>
      </c>
      <c r="C941" s="4" t="str" cm="1">
        <f t="array" aca="1" ref="C941" ca="1">INDEX({"Cochin";"Delhi";"Mumbai";"Pune";"Bengaluru"}, RANDBETWEEN(1,5))</f>
        <v>Pune</v>
      </c>
      <c r="D941" s="4" t="str" cm="1">
        <f t="array" aca="1" ref="D941" ca="1">INDEX({"C-Class";"E-Class";"S-Class";"GLA";"GLC";"GLE";"GLS";"EQB"}, RANDBETWEEN(1,8))</f>
        <v>GLA</v>
      </c>
      <c r="E941" s="4" t="str">
        <f t="shared" ca="1" si="127"/>
        <v>SUV</v>
      </c>
      <c r="F941" s="4">
        <f t="shared" ca="1" si="128"/>
        <v>4</v>
      </c>
      <c r="G941" s="8">
        <f t="shared" ca="1" si="129"/>
        <v>4589827</v>
      </c>
      <c r="H941" s="8">
        <f t="shared" ca="1" si="130"/>
        <v>18359308</v>
      </c>
      <c r="I941" s="8">
        <f t="shared" ca="1" si="131"/>
        <v>13769481</v>
      </c>
      <c r="J941" s="8">
        <f t="shared" ca="1" si="132"/>
        <v>4589827</v>
      </c>
      <c r="K941" s="6">
        <f t="shared" ca="1" si="133"/>
        <v>0.25</v>
      </c>
      <c r="L941" s="4" t="str" cm="1">
        <f t="array" aca="1" ref="L94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41" s="8">
        <f t="shared" ca="1" si="134"/>
        <v>20815</v>
      </c>
      <c r="N941" s="4" t="str" cm="1">
        <f t="array" aca="1" ref="N941" ca="1">INDEX({"New";"Repeat"}, RANDBETWEEN(1,2))</f>
        <v>New</v>
      </c>
      <c r="O941" s="4" t="str" cm="1">
        <f t="array" aca="1" ref="O941" ca="1">INDEX({"Loan";"Cash";"Lease"}, RANDBETWEEN(1,3))</f>
        <v>Loan</v>
      </c>
    </row>
    <row r="942" spans="1:15" x14ac:dyDescent="0.2">
      <c r="A942" s="4">
        <v>940</v>
      </c>
      <c r="B942" s="5">
        <f t="shared" ca="1" si="126"/>
        <v>45515</v>
      </c>
      <c r="C942" s="4" t="str" cm="1">
        <f t="array" aca="1" ref="C942" ca="1">INDEX({"Cochin";"Delhi";"Mumbai";"Pune";"Bengaluru"}, RANDBETWEEN(1,5))</f>
        <v>Bengaluru</v>
      </c>
      <c r="D942" s="4" t="str" cm="1">
        <f t="array" aca="1" ref="D942" ca="1">INDEX({"C-Class";"E-Class";"S-Class";"GLA";"GLC";"GLE";"GLS";"EQB"}, RANDBETWEEN(1,8))</f>
        <v>GLE</v>
      </c>
      <c r="E942" s="4" t="str">
        <f t="shared" ca="1" si="127"/>
        <v>SUV</v>
      </c>
      <c r="F942" s="4">
        <f t="shared" ca="1" si="128"/>
        <v>2</v>
      </c>
      <c r="G942" s="8">
        <f t="shared" ca="1" si="129"/>
        <v>12988707</v>
      </c>
      <c r="H942" s="8">
        <f t="shared" ca="1" si="130"/>
        <v>25977414</v>
      </c>
      <c r="I942" s="8">
        <f t="shared" ca="1" si="131"/>
        <v>19483060.5</v>
      </c>
      <c r="J942" s="8">
        <f t="shared" ca="1" si="132"/>
        <v>6494353.5</v>
      </c>
      <c r="K942" s="6">
        <f t="shared" ca="1" si="133"/>
        <v>0.25</v>
      </c>
      <c r="L942" s="4" t="str" cm="1">
        <f t="array" aca="1" ref="L94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42" s="8">
        <f t="shared" ca="1" si="134"/>
        <v>7074</v>
      </c>
      <c r="N942" s="4" t="str" cm="1">
        <f t="array" aca="1" ref="N942" ca="1">INDEX({"New";"Repeat"}, RANDBETWEEN(1,2))</f>
        <v>Repeat</v>
      </c>
      <c r="O942" s="4" t="str" cm="1">
        <f t="array" aca="1" ref="O942" ca="1">INDEX({"Loan";"Cash";"Lease"}, RANDBETWEEN(1,3))</f>
        <v>Lease</v>
      </c>
    </row>
    <row r="943" spans="1:15" x14ac:dyDescent="0.2">
      <c r="A943" s="4">
        <v>941</v>
      </c>
      <c r="B943" s="5">
        <f t="shared" ca="1" si="126"/>
        <v>45431</v>
      </c>
      <c r="C943" s="4" t="str" cm="1">
        <f t="array" aca="1" ref="C943" ca="1">INDEX({"Cochin";"Delhi";"Mumbai";"Pune";"Bengaluru"}, RANDBETWEEN(1,5))</f>
        <v>Delhi</v>
      </c>
      <c r="D943" s="4" t="str" cm="1">
        <f t="array" aca="1" ref="D943" ca="1">INDEX({"C-Class";"E-Class";"S-Class";"GLA";"GLC";"GLE";"GLS";"EQB"}, RANDBETWEEN(1,8))</f>
        <v>GLA</v>
      </c>
      <c r="E943" s="4" t="str">
        <f t="shared" ca="1" si="127"/>
        <v>SUV</v>
      </c>
      <c r="F943" s="4">
        <f t="shared" ca="1" si="128"/>
        <v>3</v>
      </c>
      <c r="G943" s="8">
        <f t="shared" ca="1" si="129"/>
        <v>5166474</v>
      </c>
      <c r="H943" s="8">
        <f t="shared" ca="1" si="130"/>
        <v>15499422</v>
      </c>
      <c r="I943" s="8">
        <f t="shared" ca="1" si="131"/>
        <v>11004589.619999999</v>
      </c>
      <c r="J943" s="8">
        <f t="shared" ca="1" si="132"/>
        <v>4494832.3800000008</v>
      </c>
      <c r="K943" s="6">
        <f t="shared" ca="1" si="133"/>
        <v>0.29000000000000004</v>
      </c>
      <c r="L943" s="4" t="str" cm="1">
        <f t="array" aca="1" ref="L943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43" s="8">
        <f t="shared" ca="1" si="134"/>
        <v>16046</v>
      </c>
      <c r="N943" s="4" t="str" cm="1">
        <f t="array" aca="1" ref="N943" ca="1">INDEX({"New";"Repeat"}, RANDBETWEEN(1,2))</f>
        <v>New</v>
      </c>
      <c r="O943" s="4" t="str" cm="1">
        <f t="array" aca="1" ref="O943" ca="1">INDEX({"Loan";"Cash";"Lease"}, RANDBETWEEN(1,3))</f>
        <v>Lease</v>
      </c>
    </row>
    <row r="944" spans="1:15" x14ac:dyDescent="0.2">
      <c r="A944" s="4">
        <v>942</v>
      </c>
      <c r="B944" s="5">
        <f t="shared" ca="1" si="126"/>
        <v>45144</v>
      </c>
      <c r="C944" s="4" t="str" cm="1">
        <f t="array" aca="1" ref="C944" ca="1">INDEX({"Cochin";"Delhi";"Mumbai";"Pune";"Bengaluru"}, RANDBETWEEN(1,5))</f>
        <v>Mumbai</v>
      </c>
      <c r="D944" s="4" t="str" cm="1">
        <f t="array" aca="1" ref="D944" ca="1">INDEX({"C-Class";"E-Class";"S-Class";"GLA";"GLC";"GLE";"GLS";"EQB"}, RANDBETWEEN(1,8))</f>
        <v>C-Class</v>
      </c>
      <c r="E944" s="4" t="str">
        <f t="shared" ca="1" si="127"/>
        <v>Sedan</v>
      </c>
      <c r="F944" s="4">
        <f t="shared" ca="1" si="128"/>
        <v>3</v>
      </c>
      <c r="G944" s="8">
        <f t="shared" ca="1" si="129"/>
        <v>6271754</v>
      </c>
      <c r="H944" s="8">
        <f t="shared" ca="1" si="130"/>
        <v>18815262</v>
      </c>
      <c r="I944" s="8">
        <f t="shared" ca="1" si="131"/>
        <v>15804820.08</v>
      </c>
      <c r="J944" s="8">
        <f t="shared" ca="1" si="132"/>
        <v>3010441.92</v>
      </c>
      <c r="K944" s="6">
        <f t="shared" ca="1" si="133"/>
        <v>0.16</v>
      </c>
      <c r="L944" s="4" t="str" cm="1">
        <f t="array" aca="1" ref="L944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44" s="8">
        <f t="shared" ca="1" si="134"/>
        <v>6752</v>
      </c>
      <c r="N944" s="4" t="str" cm="1">
        <f t="array" aca="1" ref="N944" ca="1">INDEX({"New";"Repeat"}, RANDBETWEEN(1,2))</f>
        <v>Repeat</v>
      </c>
      <c r="O944" s="4" t="str" cm="1">
        <f t="array" aca="1" ref="O944" ca="1">INDEX({"Loan";"Cash";"Lease"}, RANDBETWEEN(1,3))</f>
        <v>Lease</v>
      </c>
    </row>
    <row r="945" spans="1:15" x14ac:dyDescent="0.2">
      <c r="A945" s="4">
        <v>943</v>
      </c>
      <c r="B945" s="5">
        <f t="shared" ca="1" si="126"/>
        <v>45042</v>
      </c>
      <c r="C945" s="4" t="str" cm="1">
        <f t="array" aca="1" ref="C945" ca="1">INDEX({"Cochin";"Delhi";"Mumbai";"Pune";"Bengaluru"}, RANDBETWEEN(1,5))</f>
        <v>Mumbai</v>
      </c>
      <c r="D945" s="4" t="str" cm="1">
        <f t="array" aca="1" ref="D945" ca="1">INDEX({"C-Class";"E-Class";"S-Class";"GLA";"GLC";"GLE";"GLS";"EQB"}, RANDBETWEEN(1,8))</f>
        <v>GLA</v>
      </c>
      <c r="E945" s="4" t="str">
        <f t="shared" ca="1" si="127"/>
        <v>SUV</v>
      </c>
      <c r="F945" s="4">
        <f t="shared" ca="1" si="128"/>
        <v>2</v>
      </c>
      <c r="G945" s="8">
        <f t="shared" ca="1" si="129"/>
        <v>4770037</v>
      </c>
      <c r="H945" s="8">
        <f t="shared" ca="1" si="130"/>
        <v>9540074</v>
      </c>
      <c r="I945" s="8">
        <f t="shared" ca="1" si="131"/>
        <v>6773452.54</v>
      </c>
      <c r="J945" s="8">
        <f t="shared" ca="1" si="132"/>
        <v>2766621.46</v>
      </c>
      <c r="K945" s="6">
        <f t="shared" ca="1" si="133"/>
        <v>0.28999999999999998</v>
      </c>
      <c r="L945" s="4" t="str" cm="1">
        <f t="array" aca="1" ref="L945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45" s="8">
        <f t="shared" ca="1" si="134"/>
        <v>21186</v>
      </c>
      <c r="N945" s="4" t="str" cm="1">
        <f t="array" aca="1" ref="N945" ca="1">INDEX({"New";"Repeat"}, RANDBETWEEN(1,2))</f>
        <v>New</v>
      </c>
      <c r="O945" s="4" t="str" cm="1">
        <f t="array" aca="1" ref="O945" ca="1">INDEX({"Loan";"Cash";"Lease"}, RANDBETWEEN(1,3))</f>
        <v>Cash</v>
      </c>
    </row>
    <row r="946" spans="1:15" x14ac:dyDescent="0.2">
      <c r="A946" s="4">
        <v>944</v>
      </c>
      <c r="B946" s="5">
        <f t="shared" ca="1" si="126"/>
        <v>45092</v>
      </c>
      <c r="C946" s="4" t="str" cm="1">
        <f t="array" aca="1" ref="C946" ca="1">INDEX({"Cochin";"Delhi";"Mumbai";"Pune";"Bengaluru"}, RANDBETWEEN(1,5))</f>
        <v>Delhi</v>
      </c>
      <c r="D946" s="4" t="str" cm="1">
        <f t="array" aca="1" ref="D946" ca="1">INDEX({"C-Class";"E-Class";"S-Class";"GLA";"GLC";"GLE";"GLS";"EQB"}, RANDBETWEEN(1,8))</f>
        <v>GLC</v>
      </c>
      <c r="E946" s="4" t="str">
        <f t="shared" ca="1" si="127"/>
        <v>SUV</v>
      </c>
      <c r="F946" s="4">
        <f t="shared" ca="1" si="128"/>
        <v>4</v>
      </c>
      <c r="G946" s="8">
        <f t="shared" ca="1" si="129"/>
        <v>7209101</v>
      </c>
      <c r="H946" s="8">
        <f t="shared" ca="1" si="130"/>
        <v>28836404</v>
      </c>
      <c r="I946" s="8">
        <f t="shared" ca="1" si="131"/>
        <v>22492395.120000001</v>
      </c>
      <c r="J946" s="8">
        <f t="shared" ca="1" si="132"/>
        <v>6344008.879999999</v>
      </c>
      <c r="K946" s="6">
        <f t="shared" ca="1" si="133"/>
        <v>0.21999999999999997</v>
      </c>
      <c r="L946" s="4" t="str" cm="1">
        <f t="array" aca="1" ref="L94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46" s="8">
        <f t="shared" ca="1" si="134"/>
        <v>14596</v>
      </c>
      <c r="N946" s="4" t="str" cm="1">
        <f t="array" aca="1" ref="N946" ca="1">INDEX({"New";"Repeat"}, RANDBETWEEN(1,2))</f>
        <v>New</v>
      </c>
      <c r="O946" s="4" t="str" cm="1">
        <f t="array" aca="1" ref="O946" ca="1">INDEX({"Loan";"Cash";"Lease"}, RANDBETWEEN(1,3))</f>
        <v>Lease</v>
      </c>
    </row>
    <row r="947" spans="1:15" x14ac:dyDescent="0.2">
      <c r="A947" s="4">
        <v>945</v>
      </c>
      <c r="B947" s="5">
        <f t="shared" ca="1" si="126"/>
        <v>45434</v>
      </c>
      <c r="C947" s="4" t="str" cm="1">
        <f t="array" aca="1" ref="C947" ca="1">INDEX({"Cochin";"Delhi";"Mumbai";"Pune";"Bengaluru"}, RANDBETWEEN(1,5))</f>
        <v>Bengaluru</v>
      </c>
      <c r="D947" s="4" t="str" cm="1">
        <f t="array" aca="1" ref="D947" ca="1">INDEX({"C-Class";"E-Class";"S-Class";"GLA";"GLC";"GLE";"GLS";"EQB"}, RANDBETWEEN(1,8))</f>
        <v>GLS</v>
      </c>
      <c r="E947" s="4" t="str">
        <f t="shared" ca="1" si="127"/>
        <v>SUV</v>
      </c>
      <c r="F947" s="4">
        <f t="shared" ca="1" si="128"/>
        <v>1</v>
      </c>
      <c r="G947" s="8">
        <f t="shared" ca="1" si="129"/>
        <v>17076240</v>
      </c>
      <c r="H947" s="8">
        <f t="shared" ca="1" si="130"/>
        <v>17076240</v>
      </c>
      <c r="I947" s="8">
        <f t="shared" ca="1" si="131"/>
        <v>12465655.199999999</v>
      </c>
      <c r="J947" s="8">
        <f t="shared" ca="1" si="132"/>
        <v>4610584.8000000007</v>
      </c>
      <c r="K947" s="6">
        <f t="shared" ca="1" si="133"/>
        <v>0.27</v>
      </c>
      <c r="L947" s="4" t="str" cm="1">
        <f t="array" aca="1" ref="L947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947" s="8">
        <f t="shared" ca="1" si="134"/>
        <v>12012</v>
      </c>
      <c r="N947" s="4" t="str" cm="1">
        <f t="array" aca="1" ref="N947" ca="1">INDEX({"New";"Repeat"}, RANDBETWEEN(1,2))</f>
        <v>New</v>
      </c>
      <c r="O947" s="4" t="str" cm="1">
        <f t="array" aca="1" ref="O947" ca="1">INDEX({"Loan";"Cash";"Lease"}, RANDBETWEEN(1,3))</f>
        <v>Loan</v>
      </c>
    </row>
    <row r="948" spans="1:15" x14ac:dyDescent="0.2">
      <c r="A948" s="4">
        <v>946</v>
      </c>
      <c r="B948" s="5">
        <f t="shared" ca="1" si="126"/>
        <v>45220</v>
      </c>
      <c r="C948" s="4" t="str" cm="1">
        <f t="array" aca="1" ref="C948" ca="1">INDEX({"Cochin";"Delhi";"Mumbai";"Pune";"Bengaluru"}, RANDBETWEEN(1,5))</f>
        <v>Cochin</v>
      </c>
      <c r="D948" s="4" t="str" cm="1">
        <f t="array" aca="1" ref="D948" ca="1">INDEX({"C-Class";"E-Class";"S-Class";"GLA";"GLC";"GLE";"GLS";"EQB"}, RANDBETWEEN(1,8))</f>
        <v>EQB</v>
      </c>
      <c r="E948" s="4" t="str">
        <f t="shared" ca="1" si="127"/>
        <v>EV</v>
      </c>
      <c r="F948" s="4">
        <f t="shared" ca="1" si="128"/>
        <v>3</v>
      </c>
      <c r="G948" s="8">
        <f t="shared" ca="1" si="129"/>
        <v>7217579</v>
      </c>
      <c r="H948" s="8">
        <f t="shared" ca="1" si="130"/>
        <v>21652737</v>
      </c>
      <c r="I948" s="8">
        <f t="shared" ca="1" si="131"/>
        <v>17322189.600000001</v>
      </c>
      <c r="J948" s="8">
        <f t="shared" ca="1" si="132"/>
        <v>4330547.3999999985</v>
      </c>
      <c r="K948" s="6">
        <f t="shared" ca="1" si="133"/>
        <v>0.19999999999999993</v>
      </c>
      <c r="L948" s="4" t="str" cm="1">
        <f t="array" aca="1" ref="L948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48" s="8">
        <f t="shared" ca="1" si="134"/>
        <v>3880</v>
      </c>
      <c r="N948" s="4" t="str" cm="1">
        <f t="array" aca="1" ref="N948" ca="1">INDEX({"New";"Repeat"}, RANDBETWEEN(1,2))</f>
        <v>Repeat</v>
      </c>
      <c r="O948" s="4" t="str" cm="1">
        <f t="array" aca="1" ref="O948" ca="1">INDEX({"Loan";"Cash";"Lease"}, RANDBETWEEN(1,3))</f>
        <v>Cash</v>
      </c>
    </row>
    <row r="949" spans="1:15" x14ac:dyDescent="0.2">
      <c r="A949" s="4">
        <v>947</v>
      </c>
      <c r="B949" s="5">
        <f t="shared" ca="1" si="126"/>
        <v>45704</v>
      </c>
      <c r="C949" s="4" t="str" cm="1">
        <f t="array" aca="1" ref="C949" ca="1">INDEX({"Cochin";"Delhi";"Mumbai";"Pune";"Bengaluru"}, RANDBETWEEN(1,5))</f>
        <v>Pune</v>
      </c>
      <c r="D949" s="4" t="str" cm="1">
        <f t="array" aca="1" ref="D949" ca="1">INDEX({"C-Class";"E-Class";"S-Class";"GLA";"GLC";"GLE";"GLS";"EQB"}, RANDBETWEEN(1,8))</f>
        <v>GLC</v>
      </c>
      <c r="E949" s="4" t="str">
        <f t="shared" ca="1" si="127"/>
        <v>SUV</v>
      </c>
      <c r="F949" s="4">
        <f t="shared" ca="1" si="128"/>
        <v>4</v>
      </c>
      <c r="G949" s="8">
        <f t="shared" ca="1" si="129"/>
        <v>7086718</v>
      </c>
      <c r="H949" s="8">
        <f t="shared" ca="1" si="130"/>
        <v>28346872</v>
      </c>
      <c r="I949" s="8">
        <f t="shared" ca="1" si="131"/>
        <v>22677497.600000001</v>
      </c>
      <c r="J949" s="8">
        <f t="shared" ca="1" si="132"/>
        <v>5669374.3999999985</v>
      </c>
      <c r="K949" s="6">
        <f t="shared" ca="1" si="133"/>
        <v>0.19999999999999996</v>
      </c>
      <c r="L949" s="4" t="str" cm="1">
        <f t="array" aca="1" ref="L949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49" s="8">
        <f t="shared" ca="1" si="134"/>
        <v>5729</v>
      </c>
      <c r="N949" s="4" t="str" cm="1">
        <f t="array" aca="1" ref="N949" ca="1">INDEX({"New";"Repeat"}, RANDBETWEEN(1,2))</f>
        <v>Repeat</v>
      </c>
      <c r="O949" s="4" t="str" cm="1">
        <f t="array" aca="1" ref="O949" ca="1">INDEX({"Loan";"Cash";"Lease"}, RANDBETWEEN(1,3))</f>
        <v>Cash</v>
      </c>
    </row>
    <row r="950" spans="1:15" x14ac:dyDescent="0.2">
      <c r="A950" s="4">
        <v>948</v>
      </c>
      <c r="B950" s="5">
        <f t="shared" ca="1" si="126"/>
        <v>45610</v>
      </c>
      <c r="C950" s="4" t="str" cm="1">
        <f t="array" aca="1" ref="C950" ca="1">INDEX({"Cochin";"Delhi";"Mumbai";"Pune";"Bengaluru"}, RANDBETWEEN(1,5))</f>
        <v>Delhi</v>
      </c>
      <c r="D950" s="4" t="str" cm="1">
        <f t="array" aca="1" ref="D950" ca="1">INDEX({"C-Class";"E-Class";"S-Class";"GLA";"GLC";"GLE";"GLS";"EQB"}, RANDBETWEEN(1,8))</f>
        <v>GLE</v>
      </c>
      <c r="E950" s="4" t="str">
        <f t="shared" ca="1" si="127"/>
        <v>SUV</v>
      </c>
      <c r="F950" s="4">
        <f t="shared" ca="1" si="128"/>
        <v>2</v>
      </c>
      <c r="G950" s="8">
        <f t="shared" ca="1" si="129"/>
        <v>12513217</v>
      </c>
      <c r="H950" s="8">
        <f t="shared" ca="1" si="130"/>
        <v>25026434</v>
      </c>
      <c r="I950" s="8">
        <f t="shared" ca="1" si="131"/>
        <v>19770882.859999999</v>
      </c>
      <c r="J950" s="8">
        <f t="shared" ca="1" si="132"/>
        <v>5255551.1400000006</v>
      </c>
      <c r="K950" s="6">
        <f t="shared" ca="1" si="133"/>
        <v>0.21000000000000002</v>
      </c>
      <c r="L950" s="4" t="str" cm="1">
        <f t="array" aca="1" ref="L950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50" s="8">
        <f t="shared" ca="1" si="134"/>
        <v>6873</v>
      </c>
      <c r="N950" s="4" t="str" cm="1">
        <f t="array" aca="1" ref="N950" ca="1">INDEX({"New";"Repeat"}, RANDBETWEEN(1,2))</f>
        <v>Repeat</v>
      </c>
      <c r="O950" s="4" t="str" cm="1">
        <f t="array" aca="1" ref="O950" ca="1">INDEX({"Loan";"Cash";"Lease"}, RANDBETWEEN(1,3))</f>
        <v>Lease</v>
      </c>
    </row>
    <row r="951" spans="1:15" x14ac:dyDescent="0.2">
      <c r="A951" s="4">
        <v>949</v>
      </c>
      <c r="B951" s="5">
        <f t="shared" ca="1" si="126"/>
        <v>45160</v>
      </c>
      <c r="C951" s="4" t="str" cm="1">
        <f t="array" aca="1" ref="C951" ca="1">INDEX({"Cochin";"Delhi";"Mumbai";"Pune";"Bengaluru"}, RANDBETWEEN(1,5))</f>
        <v>Bengaluru</v>
      </c>
      <c r="D951" s="4" t="str" cm="1">
        <f t="array" aca="1" ref="D951" ca="1">INDEX({"C-Class";"E-Class";"S-Class";"GLA";"GLC";"GLE";"GLS";"EQB"}, RANDBETWEEN(1,8))</f>
        <v>E-Class</v>
      </c>
      <c r="E951" s="4" t="str">
        <f t="shared" ca="1" si="127"/>
        <v>Sedan</v>
      </c>
      <c r="F951" s="4">
        <f t="shared" ca="1" si="128"/>
        <v>3</v>
      </c>
      <c r="G951" s="8">
        <f t="shared" ca="1" si="129"/>
        <v>8033006</v>
      </c>
      <c r="H951" s="8">
        <f t="shared" ca="1" si="130"/>
        <v>24099018</v>
      </c>
      <c r="I951" s="8">
        <f t="shared" ca="1" si="131"/>
        <v>17833273.32</v>
      </c>
      <c r="J951" s="8">
        <f t="shared" ca="1" si="132"/>
        <v>6265744.6799999997</v>
      </c>
      <c r="K951" s="6">
        <f t="shared" ca="1" si="133"/>
        <v>0.26</v>
      </c>
      <c r="L951" s="4" t="str" cm="1">
        <f t="array" aca="1" ref="L95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951" s="8">
        <f t="shared" ca="1" si="134"/>
        <v>4965</v>
      </c>
      <c r="N951" s="4" t="str" cm="1">
        <f t="array" aca="1" ref="N951" ca="1">INDEX({"New";"Repeat"}, RANDBETWEEN(1,2))</f>
        <v>Repeat</v>
      </c>
      <c r="O951" s="4" t="str" cm="1">
        <f t="array" aca="1" ref="O951" ca="1">INDEX({"Loan";"Cash";"Lease"}, RANDBETWEEN(1,3))</f>
        <v>Lease</v>
      </c>
    </row>
    <row r="952" spans="1:15" x14ac:dyDescent="0.2">
      <c r="A952" s="4">
        <v>950</v>
      </c>
      <c r="B952" s="5">
        <f t="shared" ca="1" si="126"/>
        <v>45087</v>
      </c>
      <c r="C952" s="4" t="str" cm="1">
        <f t="array" aca="1" ref="C952" ca="1">INDEX({"Cochin";"Delhi";"Mumbai";"Pune";"Bengaluru"}, RANDBETWEEN(1,5))</f>
        <v>Delhi</v>
      </c>
      <c r="D952" s="4" t="str" cm="1">
        <f t="array" aca="1" ref="D952" ca="1">INDEX({"C-Class";"E-Class";"S-Class";"GLA";"GLC";"GLE";"GLS";"EQB"}, RANDBETWEEN(1,8))</f>
        <v>GLA</v>
      </c>
      <c r="E952" s="4" t="str">
        <f t="shared" ca="1" si="127"/>
        <v>SUV</v>
      </c>
      <c r="F952" s="4">
        <f t="shared" ca="1" si="128"/>
        <v>2</v>
      </c>
      <c r="G952" s="8">
        <f t="shared" ca="1" si="129"/>
        <v>4978730</v>
      </c>
      <c r="H952" s="8">
        <f t="shared" ca="1" si="130"/>
        <v>9957460</v>
      </c>
      <c r="I952" s="8">
        <f t="shared" ca="1" si="131"/>
        <v>7766818.7999999998</v>
      </c>
      <c r="J952" s="8">
        <f t="shared" ca="1" si="132"/>
        <v>2190641.2000000002</v>
      </c>
      <c r="K952" s="6">
        <f t="shared" ca="1" si="133"/>
        <v>0.22000000000000003</v>
      </c>
      <c r="L952" s="4" t="str" cm="1">
        <f t="array" aca="1" ref="L952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52" s="8">
        <f t="shared" ca="1" si="134"/>
        <v>14435</v>
      </c>
      <c r="N952" s="4" t="str" cm="1">
        <f t="array" aca="1" ref="N952" ca="1">INDEX({"New";"Repeat"}, RANDBETWEEN(1,2))</f>
        <v>New</v>
      </c>
      <c r="O952" s="4" t="str" cm="1">
        <f t="array" aca="1" ref="O952" ca="1">INDEX({"Loan";"Cash";"Lease"}, RANDBETWEEN(1,3))</f>
        <v>Lease</v>
      </c>
    </row>
    <row r="953" spans="1:15" x14ac:dyDescent="0.2">
      <c r="A953" s="4">
        <v>951</v>
      </c>
      <c r="B953" s="5">
        <f t="shared" ca="1" si="126"/>
        <v>45860</v>
      </c>
      <c r="C953" s="4" t="str" cm="1">
        <f t="array" aca="1" ref="C953" ca="1">INDEX({"Cochin";"Delhi";"Mumbai";"Pune";"Bengaluru"}, RANDBETWEEN(1,5))</f>
        <v>Pune</v>
      </c>
      <c r="D953" s="4" t="str" cm="1">
        <f t="array" aca="1" ref="D953" ca="1">INDEX({"C-Class";"E-Class";"S-Class";"GLA";"GLC";"GLE";"GLS";"EQB"}, RANDBETWEEN(1,8))</f>
        <v>EQB</v>
      </c>
      <c r="E953" s="4" t="str">
        <f t="shared" ca="1" si="127"/>
        <v>EV</v>
      </c>
      <c r="F953" s="4">
        <f t="shared" ca="1" si="128"/>
        <v>1</v>
      </c>
      <c r="G953" s="8">
        <f t="shared" ca="1" si="129"/>
        <v>7110715</v>
      </c>
      <c r="H953" s="8">
        <f t="shared" ca="1" si="130"/>
        <v>7110715</v>
      </c>
      <c r="I953" s="8">
        <f t="shared" ca="1" si="131"/>
        <v>5759679.1500000004</v>
      </c>
      <c r="J953" s="8">
        <f t="shared" ca="1" si="132"/>
        <v>1351035.8499999996</v>
      </c>
      <c r="K953" s="6">
        <f t="shared" ca="1" si="133"/>
        <v>0.18999999999999995</v>
      </c>
      <c r="L953" s="4" t="str" cm="1">
        <f t="array" aca="1" ref="L953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953" s="8">
        <f t="shared" ca="1" si="134"/>
        <v>12904</v>
      </c>
      <c r="N953" s="4" t="str" cm="1">
        <f t="array" aca="1" ref="N953" ca="1">INDEX({"New";"Repeat"}, RANDBETWEEN(1,2))</f>
        <v>New</v>
      </c>
      <c r="O953" s="4" t="str" cm="1">
        <f t="array" aca="1" ref="O953" ca="1">INDEX({"Loan";"Cash";"Lease"}, RANDBETWEEN(1,3))</f>
        <v>Lease</v>
      </c>
    </row>
    <row r="954" spans="1:15" x14ac:dyDescent="0.2">
      <c r="A954" s="4">
        <v>952</v>
      </c>
      <c r="B954" s="5">
        <f t="shared" ca="1" si="126"/>
        <v>45063</v>
      </c>
      <c r="C954" s="4" t="str" cm="1">
        <f t="array" aca="1" ref="C954" ca="1">INDEX({"Cochin";"Delhi";"Mumbai";"Pune";"Bengaluru"}, RANDBETWEEN(1,5))</f>
        <v>Bengaluru</v>
      </c>
      <c r="D954" s="4" t="str" cm="1">
        <f t="array" aca="1" ref="D954" ca="1">INDEX({"C-Class";"E-Class";"S-Class";"GLA";"GLC";"GLE";"GLS";"EQB"}, RANDBETWEEN(1,8))</f>
        <v>GLE</v>
      </c>
      <c r="E954" s="4" t="str">
        <f t="shared" ca="1" si="127"/>
        <v>SUV</v>
      </c>
      <c r="F954" s="4">
        <f t="shared" ca="1" si="128"/>
        <v>2</v>
      </c>
      <c r="G954" s="8">
        <f t="shared" ca="1" si="129"/>
        <v>11413422</v>
      </c>
      <c r="H954" s="8">
        <f t="shared" ca="1" si="130"/>
        <v>22826844</v>
      </c>
      <c r="I954" s="8">
        <f t="shared" ca="1" si="131"/>
        <v>18718012.079999998</v>
      </c>
      <c r="J954" s="8">
        <f t="shared" ca="1" si="132"/>
        <v>4108831.9200000018</v>
      </c>
      <c r="K954" s="6">
        <f t="shared" ca="1" si="133"/>
        <v>0.18000000000000008</v>
      </c>
      <c r="L954" s="4" t="str" cm="1">
        <f t="array" aca="1" ref="L954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954" s="8">
        <f t="shared" ca="1" si="134"/>
        <v>14829</v>
      </c>
      <c r="N954" s="4" t="str" cm="1">
        <f t="array" aca="1" ref="N954" ca="1">INDEX({"New";"Repeat"}, RANDBETWEEN(1,2))</f>
        <v>New</v>
      </c>
      <c r="O954" s="4" t="str" cm="1">
        <f t="array" aca="1" ref="O954" ca="1">INDEX({"Loan";"Cash";"Lease"}, RANDBETWEEN(1,3))</f>
        <v>Lease</v>
      </c>
    </row>
    <row r="955" spans="1:15" x14ac:dyDescent="0.2">
      <c r="A955" s="4">
        <v>953</v>
      </c>
      <c r="B955" s="5">
        <f t="shared" ca="1" si="126"/>
        <v>45472</v>
      </c>
      <c r="C955" s="4" t="str" cm="1">
        <f t="array" aca="1" ref="C955" ca="1">INDEX({"Cochin";"Delhi";"Mumbai";"Pune";"Bengaluru"}, RANDBETWEEN(1,5))</f>
        <v>Delhi</v>
      </c>
      <c r="D955" s="4" t="str" cm="1">
        <f t="array" aca="1" ref="D955" ca="1">INDEX({"C-Class";"E-Class";"S-Class";"GLA";"GLC";"GLE";"GLS";"EQB"}, RANDBETWEEN(1,8))</f>
        <v>S-Class</v>
      </c>
      <c r="E955" s="4" t="str">
        <f t="shared" ca="1" si="127"/>
        <v>Sedan</v>
      </c>
      <c r="F955" s="4">
        <f t="shared" ca="1" si="128"/>
        <v>2</v>
      </c>
      <c r="G955" s="8">
        <f t="shared" ca="1" si="129"/>
        <v>19734433</v>
      </c>
      <c r="H955" s="8">
        <f t="shared" ca="1" si="130"/>
        <v>39468866</v>
      </c>
      <c r="I955" s="8">
        <f t="shared" ca="1" si="131"/>
        <v>28812272.18</v>
      </c>
      <c r="J955" s="8">
        <f t="shared" ca="1" si="132"/>
        <v>10656593.82</v>
      </c>
      <c r="K955" s="6">
        <f t="shared" ca="1" si="133"/>
        <v>0.27</v>
      </c>
      <c r="L955" s="4" t="str" cm="1">
        <f t="array" aca="1" ref="L955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55" s="8">
        <f t="shared" ca="1" si="134"/>
        <v>3523</v>
      </c>
      <c r="N955" s="4" t="str" cm="1">
        <f t="array" aca="1" ref="N955" ca="1">INDEX({"New";"Repeat"}, RANDBETWEEN(1,2))</f>
        <v>Repeat</v>
      </c>
      <c r="O955" s="4" t="str" cm="1">
        <f t="array" aca="1" ref="O955" ca="1">INDEX({"Loan";"Cash";"Lease"}, RANDBETWEEN(1,3))</f>
        <v>Cash</v>
      </c>
    </row>
    <row r="956" spans="1:15" x14ac:dyDescent="0.2">
      <c r="A956" s="4">
        <v>954</v>
      </c>
      <c r="B956" s="5">
        <f t="shared" ca="1" si="126"/>
        <v>45291</v>
      </c>
      <c r="C956" s="4" t="str" cm="1">
        <f t="array" aca="1" ref="C956" ca="1">INDEX({"Cochin";"Delhi";"Mumbai";"Pune";"Bengaluru"}, RANDBETWEEN(1,5))</f>
        <v>Bengaluru</v>
      </c>
      <c r="D956" s="4" t="str" cm="1">
        <f t="array" aca="1" ref="D956" ca="1">INDEX({"C-Class";"E-Class";"S-Class";"GLA";"GLC";"GLE";"GLS";"EQB"}, RANDBETWEEN(1,8))</f>
        <v>GLE</v>
      </c>
      <c r="E956" s="4" t="str">
        <f t="shared" ca="1" si="127"/>
        <v>SUV</v>
      </c>
      <c r="F956" s="4">
        <f t="shared" ca="1" si="128"/>
        <v>5</v>
      </c>
      <c r="G956" s="8">
        <f t="shared" ca="1" si="129"/>
        <v>9066064</v>
      </c>
      <c r="H956" s="8">
        <f t="shared" ca="1" si="130"/>
        <v>45330320</v>
      </c>
      <c r="I956" s="8">
        <f t="shared" ca="1" si="131"/>
        <v>38530772</v>
      </c>
      <c r="J956" s="8">
        <f t="shared" ca="1" si="132"/>
        <v>6799548</v>
      </c>
      <c r="K956" s="6">
        <f t="shared" ca="1" si="133"/>
        <v>0.15</v>
      </c>
      <c r="L956" s="4" t="str" cm="1">
        <f t="array" aca="1" ref="L956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56" s="8">
        <f t="shared" ca="1" si="134"/>
        <v>7999</v>
      </c>
      <c r="N956" s="4" t="str" cm="1">
        <f t="array" aca="1" ref="N956" ca="1">INDEX({"New";"Repeat"}, RANDBETWEEN(1,2))</f>
        <v>Repeat</v>
      </c>
      <c r="O956" s="4" t="str" cm="1">
        <f t="array" aca="1" ref="O956" ca="1">INDEX({"Loan";"Cash";"Lease"}, RANDBETWEEN(1,3))</f>
        <v>Loan</v>
      </c>
    </row>
    <row r="957" spans="1:15" x14ac:dyDescent="0.2">
      <c r="A957" s="4">
        <v>955</v>
      </c>
      <c r="B957" s="5">
        <f t="shared" ca="1" si="126"/>
        <v>45537</v>
      </c>
      <c r="C957" s="4" t="str" cm="1">
        <f t="array" aca="1" ref="C957" ca="1">INDEX({"Cochin";"Delhi";"Mumbai";"Pune";"Bengaluru"}, RANDBETWEEN(1,5))</f>
        <v>Pune</v>
      </c>
      <c r="D957" s="4" t="str" cm="1">
        <f t="array" aca="1" ref="D957" ca="1">INDEX({"C-Class";"E-Class";"S-Class";"GLA";"GLC";"GLE";"GLS";"EQB"}, RANDBETWEEN(1,8))</f>
        <v>EQB</v>
      </c>
      <c r="E957" s="4" t="str">
        <f t="shared" ca="1" si="127"/>
        <v>EV</v>
      </c>
      <c r="F957" s="4">
        <f t="shared" ca="1" si="128"/>
        <v>1</v>
      </c>
      <c r="G957" s="8">
        <f t="shared" ca="1" si="129"/>
        <v>7601556</v>
      </c>
      <c r="H957" s="8">
        <f t="shared" ca="1" si="130"/>
        <v>7601556</v>
      </c>
      <c r="I957" s="8">
        <f t="shared" ca="1" si="131"/>
        <v>5777182.5599999996</v>
      </c>
      <c r="J957" s="8">
        <f t="shared" ca="1" si="132"/>
        <v>1824373.4400000004</v>
      </c>
      <c r="K957" s="6">
        <f t="shared" ca="1" si="133"/>
        <v>0.24000000000000005</v>
      </c>
      <c r="L957" s="4" t="str" cm="1">
        <f t="array" aca="1" ref="L957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57" s="8">
        <f t="shared" ca="1" si="134"/>
        <v>14097</v>
      </c>
      <c r="N957" s="4" t="str" cm="1">
        <f t="array" aca="1" ref="N957" ca="1">INDEX({"New";"Repeat"}, RANDBETWEEN(1,2))</f>
        <v>New</v>
      </c>
      <c r="O957" s="4" t="str" cm="1">
        <f t="array" aca="1" ref="O957" ca="1">INDEX({"Loan";"Cash";"Lease"}, RANDBETWEEN(1,3))</f>
        <v>Loan</v>
      </c>
    </row>
    <row r="958" spans="1:15" x14ac:dyDescent="0.2">
      <c r="A958" s="4">
        <v>956</v>
      </c>
      <c r="B958" s="5">
        <f t="shared" ca="1" si="126"/>
        <v>45287</v>
      </c>
      <c r="C958" s="4" t="str" cm="1">
        <f t="array" aca="1" ref="C958" ca="1">INDEX({"Cochin";"Delhi";"Mumbai";"Pune";"Bengaluru"}, RANDBETWEEN(1,5))</f>
        <v>Mumbai</v>
      </c>
      <c r="D958" s="4" t="str" cm="1">
        <f t="array" aca="1" ref="D958" ca="1">INDEX({"C-Class";"E-Class";"S-Class";"GLA";"GLC";"GLE";"GLS";"EQB"}, RANDBETWEEN(1,8))</f>
        <v>GLS</v>
      </c>
      <c r="E958" s="4" t="str">
        <f t="shared" ca="1" si="127"/>
        <v>SUV</v>
      </c>
      <c r="F958" s="4">
        <f t="shared" ca="1" si="128"/>
        <v>5</v>
      </c>
      <c r="G958" s="8">
        <f t="shared" ca="1" si="129"/>
        <v>16718548</v>
      </c>
      <c r="H958" s="8">
        <f t="shared" ca="1" si="130"/>
        <v>83592740</v>
      </c>
      <c r="I958" s="8">
        <f t="shared" ca="1" si="131"/>
        <v>58514918</v>
      </c>
      <c r="J958" s="8">
        <f t="shared" ca="1" si="132"/>
        <v>25077822</v>
      </c>
      <c r="K958" s="6">
        <f t="shared" ca="1" si="133"/>
        <v>0.3</v>
      </c>
      <c r="L958" s="4" t="str" cm="1">
        <f t="array" aca="1" ref="L958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58" s="8">
        <f t="shared" ca="1" si="134"/>
        <v>18132</v>
      </c>
      <c r="N958" s="4" t="str" cm="1">
        <f t="array" aca="1" ref="N958" ca="1">INDEX({"New";"Repeat"}, RANDBETWEEN(1,2))</f>
        <v>New</v>
      </c>
      <c r="O958" s="4" t="str" cm="1">
        <f t="array" aca="1" ref="O958" ca="1">INDEX({"Loan";"Cash";"Lease"}, RANDBETWEEN(1,3))</f>
        <v>Cash</v>
      </c>
    </row>
    <row r="959" spans="1:15" x14ac:dyDescent="0.2">
      <c r="A959" s="4">
        <v>957</v>
      </c>
      <c r="B959" s="5">
        <f t="shared" ca="1" si="126"/>
        <v>45169</v>
      </c>
      <c r="C959" s="4" t="str" cm="1">
        <f t="array" aca="1" ref="C959" ca="1">INDEX({"Cochin";"Delhi";"Mumbai";"Pune";"Bengaluru"}, RANDBETWEEN(1,5))</f>
        <v>Delhi</v>
      </c>
      <c r="D959" s="4" t="str" cm="1">
        <f t="array" aca="1" ref="D959" ca="1">INDEX({"C-Class";"E-Class";"S-Class";"GLA";"GLC";"GLE";"GLS";"EQB"}, RANDBETWEEN(1,8))</f>
        <v>GLS</v>
      </c>
      <c r="E959" s="4" t="str">
        <f t="shared" ca="1" si="127"/>
        <v>SUV</v>
      </c>
      <c r="F959" s="4">
        <f t="shared" ca="1" si="128"/>
        <v>2</v>
      </c>
      <c r="G959" s="8">
        <f t="shared" ca="1" si="129"/>
        <v>15087218</v>
      </c>
      <c r="H959" s="8">
        <f t="shared" ca="1" si="130"/>
        <v>30174436</v>
      </c>
      <c r="I959" s="8">
        <f t="shared" ca="1" si="131"/>
        <v>23837804.440000001</v>
      </c>
      <c r="J959" s="8">
        <f t="shared" ca="1" si="132"/>
        <v>6336631.5599999987</v>
      </c>
      <c r="K959" s="6">
        <f t="shared" ca="1" si="133"/>
        <v>0.20999999999999996</v>
      </c>
      <c r="L959" s="4" t="str" cm="1">
        <f t="array" aca="1" ref="L959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59" s="8">
        <f t="shared" ca="1" si="134"/>
        <v>24223</v>
      </c>
      <c r="N959" s="4" t="str" cm="1">
        <f t="array" aca="1" ref="N959" ca="1">INDEX({"New";"Repeat"}, RANDBETWEEN(1,2))</f>
        <v>New</v>
      </c>
      <c r="O959" s="4" t="str" cm="1">
        <f t="array" aca="1" ref="O959" ca="1">INDEX({"Loan";"Cash";"Lease"}, RANDBETWEEN(1,3))</f>
        <v>Lease</v>
      </c>
    </row>
    <row r="960" spans="1:15" x14ac:dyDescent="0.2">
      <c r="A960" s="4">
        <v>958</v>
      </c>
      <c r="B960" s="5">
        <f t="shared" ca="1" si="126"/>
        <v>45805</v>
      </c>
      <c r="C960" s="4" t="str" cm="1">
        <f t="array" aca="1" ref="C960" ca="1">INDEX({"Cochin";"Delhi";"Mumbai";"Pune";"Bengaluru"}, RANDBETWEEN(1,5))</f>
        <v>Delhi</v>
      </c>
      <c r="D960" s="4" t="str" cm="1">
        <f t="array" aca="1" ref="D960" ca="1">INDEX({"C-Class";"E-Class";"S-Class";"GLA";"GLC";"GLE";"GLS";"EQB"}, RANDBETWEEN(1,8))</f>
        <v>E-Class</v>
      </c>
      <c r="E960" s="4" t="str">
        <f t="shared" ca="1" si="127"/>
        <v>Sedan</v>
      </c>
      <c r="F960" s="4">
        <f t="shared" ca="1" si="128"/>
        <v>1</v>
      </c>
      <c r="G960" s="8">
        <f t="shared" ca="1" si="129"/>
        <v>7502174</v>
      </c>
      <c r="H960" s="8">
        <f t="shared" ca="1" si="130"/>
        <v>7502174</v>
      </c>
      <c r="I960" s="8">
        <f t="shared" ca="1" si="131"/>
        <v>6151782.6799999997</v>
      </c>
      <c r="J960" s="8">
        <f t="shared" ca="1" si="132"/>
        <v>1350391.3200000003</v>
      </c>
      <c r="K960" s="6">
        <f t="shared" ca="1" si="133"/>
        <v>0.18000000000000005</v>
      </c>
      <c r="L960" s="4" t="str" cm="1">
        <f t="array" aca="1" ref="L960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60" s="8">
        <f t="shared" ca="1" si="134"/>
        <v>5350</v>
      </c>
      <c r="N960" s="4" t="str" cm="1">
        <f t="array" aca="1" ref="N960" ca="1">INDEX({"New";"Repeat"}, RANDBETWEEN(1,2))</f>
        <v>Repeat</v>
      </c>
      <c r="O960" s="4" t="str" cm="1">
        <f t="array" aca="1" ref="O960" ca="1">INDEX({"Loan";"Cash";"Lease"}, RANDBETWEEN(1,3))</f>
        <v>Loan</v>
      </c>
    </row>
    <row r="961" spans="1:15" x14ac:dyDescent="0.2">
      <c r="A961" s="4">
        <v>959</v>
      </c>
      <c r="B961" s="5">
        <f t="shared" ca="1" si="126"/>
        <v>45830</v>
      </c>
      <c r="C961" s="4" t="str" cm="1">
        <f t="array" aca="1" ref="C961" ca="1">INDEX({"Cochin";"Delhi";"Mumbai";"Pune";"Bengaluru"}, RANDBETWEEN(1,5))</f>
        <v>Bengaluru</v>
      </c>
      <c r="D961" s="4" t="str" cm="1">
        <f t="array" aca="1" ref="D961" ca="1">INDEX({"C-Class";"E-Class";"S-Class";"GLA";"GLC";"GLE";"GLS";"EQB"}, RANDBETWEEN(1,8))</f>
        <v>EQB</v>
      </c>
      <c r="E961" s="4" t="str">
        <f t="shared" ca="1" si="127"/>
        <v>EV</v>
      </c>
      <c r="F961" s="4">
        <f t="shared" ca="1" si="128"/>
        <v>1</v>
      </c>
      <c r="G961" s="8">
        <f t="shared" ca="1" si="129"/>
        <v>7652068</v>
      </c>
      <c r="H961" s="8">
        <f t="shared" ca="1" si="130"/>
        <v>7652068</v>
      </c>
      <c r="I961" s="8">
        <f t="shared" ca="1" si="131"/>
        <v>6427737.1200000001</v>
      </c>
      <c r="J961" s="8">
        <f t="shared" ca="1" si="132"/>
        <v>1224330.8799999999</v>
      </c>
      <c r="K961" s="6">
        <f t="shared" ca="1" si="133"/>
        <v>0.15999999999999998</v>
      </c>
      <c r="L961" s="4" t="str" cm="1">
        <f t="array" aca="1" ref="L961" ca="1">INDEX({"Arjun Menon";"Rohit Nair";"Aadil Syed";"Sanjay Reddy";"Amit Verma";"Rizwan Shah";"Ankit Mehta";"Pranav Rao";"Aiswarya Pillai";"Nabeel Khan";"Deepak Patil";"Neha Iyer";"Varun Khanna";"Aditya Desai";"Sneha Sharma"}, RANDBETWEEN(1,15))</f>
        <v>Sanjay Reddy</v>
      </c>
      <c r="M961" s="8">
        <f t="shared" ca="1" si="134"/>
        <v>14333</v>
      </c>
      <c r="N961" s="4" t="str" cm="1">
        <f t="array" aca="1" ref="N961" ca="1">INDEX({"New";"Repeat"}, RANDBETWEEN(1,2))</f>
        <v>New</v>
      </c>
      <c r="O961" s="4" t="str" cm="1">
        <f t="array" aca="1" ref="O961" ca="1">INDEX({"Loan";"Cash";"Lease"}, RANDBETWEEN(1,3))</f>
        <v>Lease</v>
      </c>
    </row>
    <row r="962" spans="1:15" x14ac:dyDescent="0.2">
      <c r="A962" s="4">
        <v>960</v>
      </c>
      <c r="B962" s="5">
        <f t="shared" ca="1" si="126"/>
        <v>45129</v>
      </c>
      <c r="C962" s="4" t="str" cm="1">
        <f t="array" aca="1" ref="C962" ca="1">INDEX({"Cochin";"Delhi";"Mumbai";"Pune";"Bengaluru"}, RANDBETWEEN(1,5))</f>
        <v>Pune</v>
      </c>
      <c r="D962" s="4" t="str" cm="1">
        <f t="array" aca="1" ref="D962" ca="1">INDEX({"C-Class";"E-Class";"S-Class";"GLA";"GLC";"GLE";"GLS";"EQB"}, RANDBETWEEN(1,8))</f>
        <v>S-Class</v>
      </c>
      <c r="E962" s="4" t="str">
        <f t="shared" ca="1" si="127"/>
        <v>Sedan</v>
      </c>
      <c r="F962" s="4">
        <f t="shared" ca="1" si="128"/>
        <v>2</v>
      </c>
      <c r="G962" s="8">
        <f t="shared" ca="1" si="129"/>
        <v>21673067</v>
      </c>
      <c r="H962" s="8">
        <f t="shared" ca="1" si="130"/>
        <v>43346134</v>
      </c>
      <c r="I962" s="8">
        <f t="shared" ca="1" si="131"/>
        <v>31642677.82</v>
      </c>
      <c r="J962" s="8">
        <f t="shared" ca="1" si="132"/>
        <v>11703456.18</v>
      </c>
      <c r="K962" s="6">
        <f t="shared" ca="1" si="133"/>
        <v>0.27</v>
      </c>
      <c r="L962" s="4" t="str" cm="1">
        <f t="array" aca="1" ref="L962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62" s="8">
        <f t="shared" ca="1" si="134"/>
        <v>24283</v>
      </c>
      <c r="N962" s="4" t="str" cm="1">
        <f t="array" aca="1" ref="N962" ca="1">INDEX({"New";"Repeat"}, RANDBETWEEN(1,2))</f>
        <v>New</v>
      </c>
      <c r="O962" s="4" t="str" cm="1">
        <f t="array" aca="1" ref="O962" ca="1">INDEX({"Loan";"Cash";"Lease"}, RANDBETWEEN(1,3))</f>
        <v>Loan</v>
      </c>
    </row>
    <row r="963" spans="1:15" x14ac:dyDescent="0.2">
      <c r="A963" s="4">
        <v>961</v>
      </c>
      <c r="B963" s="5">
        <f t="shared" ca="1" si="126"/>
        <v>45806</v>
      </c>
      <c r="C963" s="4" t="str" cm="1">
        <f t="array" aca="1" ref="C963" ca="1">INDEX({"Cochin";"Delhi";"Mumbai";"Pune";"Bengaluru"}, RANDBETWEEN(1,5))</f>
        <v>Bengaluru</v>
      </c>
      <c r="D963" s="4" t="str" cm="1">
        <f t="array" aca="1" ref="D963" ca="1">INDEX({"C-Class";"E-Class";"S-Class";"GLA";"GLC";"GLE";"GLS";"EQB"}, RANDBETWEEN(1,8))</f>
        <v>C-Class</v>
      </c>
      <c r="E963" s="4" t="str">
        <f t="shared" ca="1" si="127"/>
        <v>Sedan</v>
      </c>
      <c r="F963" s="4">
        <f t="shared" ca="1" si="128"/>
        <v>2</v>
      </c>
      <c r="G963" s="8">
        <f t="shared" ca="1" si="129"/>
        <v>5960695</v>
      </c>
      <c r="H963" s="8">
        <f t="shared" ca="1" si="130"/>
        <v>11921390</v>
      </c>
      <c r="I963" s="8">
        <f t="shared" ca="1" si="131"/>
        <v>8464186.9000000004</v>
      </c>
      <c r="J963" s="8">
        <f t="shared" ca="1" si="132"/>
        <v>3457203.0999999996</v>
      </c>
      <c r="K963" s="6">
        <f t="shared" ca="1" si="133"/>
        <v>0.28999999999999998</v>
      </c>
      <c r="L963" s="4" t="str" cm="1">
        <f t="array" aca="1" ref="L96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63" s="8">
        <f t="shared" ca="1" si="134"/>
        <v>4274</v>
      </c>
      <c r="N963" s="4" t="str" cm="1">
        <f t="array" aca="1" ref="N963" ca="1">INDEX({"New";"Repeat"}, RANDBETWEEN(1,2))</f>
        <v>Repeat</v>
      </c>
      <c r="O963" s="4" t="str" cm="1">
        <f t="array" aca="1" ref="O963" ca="1">INDEX({"Loan";"Cash";"Lease"}, RANDBETWEEN(1,3))</f>
        <v>Lease</v>
      </c>
    </row>
    <row r="964" spans="1:15" x14ac:dyDescent="0.2">
      <c r="A964" s="4">
        <v>962</v>
      </c>
      <c r="B964" s="5">
        <f t="shared" ref="B964:B1002" ca="1" si="135">RANDBETWEEN(DATE(2023,1,1),DATE(2025,9,1))</f>
        <v>45175</v>
      </c>
      <c r="C964" s="4" t="str" cm="1">
        <f t="array" aca="1" ref="C964" ca="1">INDEX({"Cochin";"Delhi";"Mumbai";"Pune";"Bengaluru"}, RANDBETWEEN(1,5))</f>
        <v>Pune</v>
      </c>
      <c r="D964" s="4" t="str" cm="1">
        <f t="array" aca="1" ref="D964" ca="1">INDEX({"C-Class";"E-Class";"S-Class";"GLA";"GLC";"GLE";"GLS";"EQB"}, RANDBETWEEN(1,8))</f>
        <v>GLC</v>
      </c>
      <c r="E964" s="4" t="str">
        <f t="shared" ref="E964:E1002" ca="1" si="136">IF(D964="EQB","EV", IF(OR(D964="GLA",D964="GLC",D964="GLE",D964="GLS"),"SUV","Sedan"))</f>
        <v>SUV</v>
      </c>
      <c r="F964" s="4">
        <f t="shared" ref="F964:F1002" ca="1" si="137">RANDBETWEEN(1,5)</f>
        <v>3</v>
      </c>
      <c r="G964" s="8">
        <f t="shared" ref="G964:G1002" ca="1" si="138">IF(D964="C-Class",RANDBETWEEN(5500000,7000000),
IF(D964="E-Class",RANDBETWEEN(7500000,9500000),
IF(D964="S-Class",RANDBETWEEN(15000000,25000000),
IF(D964="GLA",RANDBETWEEN(4500000,5500000),
IF(D964="GLC",RANDBETWEEN(6500000,7500000),
IF(D964="GLE",RANDBETWEEN(9000000,13000000),
IF(D964="GLS",RANDBETWEEN(13000000,18000000),
IF(D964="EQB",RANDBETWEEN(7000000,8000000)))))))))</f>
        <v>7456889</v>
      </c>
      <c r="H964" s="8">
        <f t="shared" ref="H964:H1002" ca="1" si="139">F964*G964</f>
        <v>22370667</v>
      </c>
      <c r="I964" s="8">
        <f t="shared" ref="I964:I1002" ca="1" si="140">G964 *F964* RANDBETWEEN(70,85) / 100</f>
        <v>17225413.59</v>
      </c>
      <c r="J964" s="8">
        <f t="shared" ref="J964:J1002" ca="1" si="141">H964 -I964</f>
        <v>5145253.41</v>
      </c>
      <c r="K964" s="6">
        <f t="shared" ref="K964:K1002" ca="1" si="142">J964/H964</f>
        <v>0.23</v>
      </c>
      <c r="L964" s="4" t="str" cm="1">
        <f t="array" aca="1" ref="L964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64" s="8">
        <f t="shared" ref="M964:M1002" ca="1" si="143">IF(N964="New", RANDBETWEEN(10000,25000), RANDBETWEEN(3000,8000))</f>
        <v>24408</v>
      </c>
      <c r="N964" s="4" t="str" cm="1">
        <f t="array" aca="1" ref="N964" ca="1">INDEX({"New";"Repeat"}, RANDBETWEEN(1,2))</f>
        <v>New</v>
      </c>
      <c r="O964" s="4" t="str" cm="1">
        <f t="array" aca="1" ref="O964" ca="1">INDEX({"Loan";"Cash";"Lease"}, RANDBETWEEN(1,3))</f>
        <v>Lease</v>
      </c>
    </row>
    <row r="965" spans="1:15" x14ac:dyDescent="0.2">
      <c r="A965" s="4">
        <v>963</v>
      </c>
      <c r="B965" s="5">
        <f t="shared" ca="1" si="135"/>
        <v>45241</v>
      </c>
      <c r="C965" s="4" t="str" cm="1">
        <f t="array" aca="1" ref="C965" ca="1">INDEX({"Cochin";"Delhi";"Mumbai";"Pune";"Bengaluru"}, RANDBETWEEN(1,5))</f>
        <v>Mumbai</v>
      </c>
      <c r="D965" s="4" t="str" cm="1">
        <f t="array" aca="1" ref="D965" ca="1">INDEX({"C-Class";"E-Class";"S-Class";"GLA";"GLC";"GLE";"GLS";"EQB"}, RANDBETWEEN(1,8))</f>
        <v>GLA</v>
      </c>
      <c r="E965" s="4" t="str">
        <f t="shared" ca="1" si="136"/>
        <v>SUV</v>
      </c>
      <c r="F965" s="4">
        <f t="shared" ca="1" si="137"/>
        <v>4</v>
      </c>
      <c r="G965" s="8">
        <f t="shared" ca="1" si="138"/>
        <v>5333909</v>
      </c>
      <c r="H965" s="8">
        <f t="shared" ca="1" si="139"/>
        <v>21335636</v>
      </c>
      <c r="I965" s="8">
        <f t="shared" ca="1" si="140"/>
        <v>16001727</v>
      </c>
      <c r="J965" s="8">
        <f t="shared" ca="1" si="141"/>
        <v>5333909</v>
      </c>
      <c r="K965" s="6">
        <f t="shared" ca="1" si="142"/>
        <v>0.25</v>
      </c>
      <c r="L965" s="4" t="str" cm="1">
        <f t="array" aca="1" ref="L965" ca="1">INDEX({"Arjun Menon";"Rohit Nair";"Aadil Syed";"Sanjay Reddy";"Amit Verma";"Rizwan Shah";"Ankit Mehta";"Pranav Rao";"Aiswarya Pillai";"Nabeel Khan";"Deepak Patil";"Neha Iyer";"Varun Khanna";"Aditya Desai";"Sneha Sharma"}, RANDBETWEEN(1,15))</f>
        <v>Aadil Syed</v>
      </c>
      <c r="M965" s="8">
        <f t="shared" ca="1" si="143"/>
        <v>7241</v>
      </c>
      <c r="N965" s="4" t="str" cm="1">
        <f t="array" aca="1" ref="N965" ca="1">INDEX({"New";"Repeat"}, RANDBETWEEN(1,2))</f>
        <v>Repeat</v>
      </c>
      <c r="O965" s="4" t="str" cm="1">
        <f t="array" aca="1" ref="O965" ca="1">INDEX({"Loan";"Cash";"Lease"}, RANDBETWEEN(1,3))</f>
        <v>Lease</v>
      </c>
    </row>
    <row r="966" spans="1:15" x14ac:dyDescent="0.2">
      <c r="A966" s="4">
        <v>964</v>
      </c>
      <c r="B966" s="5">
        <f t="shared" ca="1" si="135"/>
        <v>45306</v>
      </c>
      <c r="C966" s="4" t="str" cm="1">
        <f t="array" aca="1" ref="C966" ca="1">INDEX({"Cochin";"Delhi";"Mumbai";"Pune";"Bengaluru"}, RANDBETWEEN(1,5))</f>
        <v>Bengaluru</v>
      </c>
      <c r="D966" s="4" t="str" cm="1">
        <f t="array" aca="1" ref="D966" ca="1">INDEX({"C-Class";"E-Class";"S-Class";"GLA";"GLC";"GLE";"GLS";"EQB"}, RANDBETWEEN(1,8))</f>
        <v>GLA</v>
      </c>
      <c r="E966" s="4" t="str">
        <f t="shared" ca="1" si="136"/>
        <v>SUV</v>
      </c>
      <c r="F966" s="4">
        <f t="shared" ca="1" si="137"/>
        <v>5</v>
      </c>
      <c r="G966" s="8">
        <f t="shared" ca="1" si="138"/>
        <v>4958479</v>
      </c>
      <c r="H966" s="8">
        <f t="shared" ca="1" si="139"/>
        <v>24792395</v>
      </c>
      <c r="I966" s="8">
        <f t="shared" ca="1" si="140"/>
        <v>19090144.149999999</v>
      </c>
      <c r="J966" s="8">
        <f t="shared" ca="1" si="141"/>
        <v>5702250.8500000015</v>
      </c>
      <c r="K966" s="6">
        <f t="shared" ca="1" si="142"/>
        <v>0.23000000000000007</v>
      </c>
      <c r="L966" s="4" t="str" cm="1">
        <f t="array" aca="1" ref="L966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66" s="8">
        <f t="shared" ca="1" si="143"/>
        <v>22544</v>
      </c>
      <c r="N966" s="4" t="str" cm="1">
        <f t="array" aca="1" ref="N966" ca="1">INDEX({"New";"Repeat"}, RANDBETWEEN(1,2))</f>
        <v>New</v>
      </c>
      <c r="O966" s="4" t="str" cm="1">
        <f t="array" aca="1" ref="O966" ca="1">INDEX({"Loan";"Cash";"Lease"}, RANDBETWEEN(1,3))</f>
        <v>Loan</v>
      </c>
    </row>
    <row r="967" spans="1:15" x14ac:dyDescent="0.2">
      <c r="A967" s="4">
        <v>965</v>
      </c>
      <c r="B967" s="5">
        <f t="shared" ca="1" si="135"/>
        <v>45735</v>
      </c>
      <c r="C967" s="4" t="str" cm="1">
        <f t="array" aca="1" ref="C967" ca="1">INDEX({"Cochin";"Delhi";"Mumbai";"Pune";"Bengaluru"}, RANDBETWEEN(1,5))</f>
        <v>Mumbai</v>
      </c>
      <c r="D967" s="4" t="str" cm="1">
        <f t="array" aca="1" ref="D967" ca="1">INDEX({"C-Class";"E-Class";"S-Class";"GLA";"GLC";"GLE";"GLS";"EQB"}, RANDBETWEEN(1,8))</f>
        <v>GLE</v>
      </c>
      <c r="E967" s="4" t="str">
        <f t="shared" ca="1" si="136"/>
        <v>SUV</v>
      </c>
      <c r="F967" s="4">
        <f t="shared" ca="1" si="137"/>
        <v>2</v>
      </c>
      <c r="G967" s="8">
        <f t="shared" ca="1" si="138"/>
        <v>10820168</v>
      </c>
      <c r="H967" s="8">
        <f t="shared" ca="1" si="139"/>
        <v>21640336</v>
      </c>
      <c r="I967" s="8">
        <f t="shared" ca="1" si="140"/>
        <v>17095865.440000001</v>
      </c>
      <c r="J967" s="8">
        <f t="shared" ca="1" si="141"/>
        <v>4544470.5599999987</v>
      </c>
      <c r="K967" s="6">
        <f t="shared" ca="1" si="142"/>
        <v>0.20999999999999994</v>
      </c>
      <c r="L967" s="4" t="str" cm="1">
        <f t="array" aca="1" ref="L967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67" s="8">
        <f t="shared" ca="1" si="143"/>
        <v>13259</v>
      </c>
      <c r="N967" s="4" t="str" cm="1">
        <f t="array" aca="1" ref="N967" ca="1">INDEX({"New";"Repeat"}, RANDBETWEEN(1,2))</f>
        <v>New</v>
      </c>
      <c r="O967" s="4" t="str" cm="1">
        <f t="array" aca="1" ref="O967" ca="1">INDEX({"Loan";"Cash";"Lease"}, RANDBETWEEN(1,3))</f>
        <v>Cash</v>
      </c>
    </row>
    <row r="968" spans="1:15" x14ac:dyDescent="0.2">
      <c r="A968" s="4">
        <v>966</v>
      </c>
      <c r="B968" s="5">
        <f t="shared" ca="1" si="135"/>
        <v>45786</v>
      </c>
      <c r="C968" s="4" t="str" cm="1">
        <f t="array" aca="1" ref="C968" ca="1">INDEX({"Cochin";"Delhi";"Mumbai";"Pune";"Bengaluru"}, RANDBETWEEN(1,5))</f>
        <v>Bengaluru</v>
      </c>
      <c r="D968" s="4" t="str" cm="1">
        <f t="array" aca="1" ref="D968" ca="1">INDEX({"C-Class";"E-Class";"S-Class";"GLA";"GLC";"GLE";"GLS";"EQB"}, RANDBETWEEN(1,8))</f>
        <v>S-Class</v>
      </c>
      <c r="E968" s="4" t="str">
        <f t="shared" ca="1" si="136"/>
        <v>Sedan</v>
      </c>
      <c r="F968" s="4">
        <f t="shared" ca="1" si="137"/>
        <v>1</v>
      </c>
      <c r="G968" s="8">
        <f t="shared" ca="1" si="138"/>
        <v>20237485</v>
      </c>
      <c r="H968" s="8">
        <f t="shared" ca="1" si="139"/>
        <v>20237485</v>
      </c>
      <c r="I968" s="8">
        <f t="shared" ca="1" si="140"/>
        <v>17201862.25</v>
      </c>
      <c r="J968" s="8">
        <f t="shared" ca="1" si="141"/>
        <v>3035622.75</v>
      </c>
      <c r="K968" s="6">
        <f t="shared" ca="1" si="142"/>
        <v>0.15</v>
      </c>
      <c r="L968" s="4" t="str" cm="1">
        <f t="array" aca="1" ref="L968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68" s="8">
        <f t="shared" ca="1" si="143"/>
        <v>17373</v>
      </c>
      <c r="N968" s="4" t="str" cm="1">
        <f t="array" aca="1" ref="N968" ca="1">INDEX({"New";"Repeat"}, RANDBETWEEN(1,2))</f>
        <v>New</v>
      </c>
      <c r="O968" s="4" t="str" cm="1">
        <f t="array" aca="1" ref="O968" ca="1">INDEX({"Loan";"Cash";"Lease"}, RANDBETWEEN(1,3))</f>
        <v>Cash</v>
      </c>
    </row>
    <row r="969" spans="1:15" x14ac:dyDescent="0.2">
      <c r="A969" s="4">
        <v>967</v>
      </c>
      <c r="B969" s="5">
        <f t="shared" ca="1" si="135"/>
        <v>45115</v>
      </c>
      <c r="C969" s="4" t="str" cm="1">
        <f t="array" aca="1" ref="C969" ca="1">INDEX({"Cochin";"Delhi";"Mumbai";"Pune";"Bengaluru"}, RANDBETWEEN(1,5))</f>
        <v>Mumbai</v>
      </c>
      <c r="D969" s="4" t="str" cm="1">
        <f t="array" aca="1" ref="D969" ca="1">INDEX({"C-Class";"E-Class";"S-Class";"GLA";"GLC";"GLE";"GLS";"EQB"}, RANDBETWEEN(1,8))</f>
        <v>C-Class</v>
      </c>
      <c r="E969" s="4" t="str">
        <f t="shared" ca="1" si="136"/>
        <v>Sedan</v>
      </c>
      <c r="F969" s="4">
        <f t="shared" ca="1" si="137"/>
        <v>3</v>
      </c>
      <c r="G969" s="8">
        <f t="shared" ca="1" si="138"/>
        <v>6868936</v>
      </c>
      <c r="H969" s="8">
        <f t="shared" ca="1" si="139"/>
        <v>20606808</v>
      </c>
      <c r="I969" s="8">
        <f t="shared" ca="1" si="140"/>
        <v>15867242.16</v>
      </c>
      <c r="J969" s="8">
        <f t="shared" ca="1" si="141"/>
        <v>4739565.84</v>
      </c>
      <c r="K969" s="6">
        <f t="shared" ca="1" si="142"/>
        <v>0.22999999999999998</v>
      </c>
      <c r="L969" s="4" t="str" cm="1">
        <f t="array" aca="1" ref="L969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69" s="8">
        <f t="shared" ca="1" si="143"/>
        <v>19144</v>
      </c>
      <c r="N969" s="4" t="str" cm="1">
        <f t="array" aca="1" ref="N969" ca="1">INDEX({"New";"Repeat"}, RANDBETWEEN(1,2))</f>
        <v>New</v>
      </c>
      <c r="O969" s="4" t="str" cm="1">
        <f t="array" aca="1" ref="O969" ca="1">INDEX({"Loan";"Cash";"Lease"}, RANDBETWEEN(1,3))</f>
        <v>Cash</v>
      </c>
    </row>
    <row r="970" spans="1:15" x14ac:dyDescent="0.2">
      <c r="A970" s="4">
        <v>968</v>
      </c>
      <c r="B970" s="5">
        <f t="shared" ca="1" si="135"/>
        <v>45499</v>
      </c>
      <c r="C970" s="4" t="str" cm="1">
        <f t="array" aca="1" ref="C970" ca="1">INDEX({"Cochin";"Delhi";"Mumbai";"Pune";"Bengaluru"}, RANDBETWEEN(1,5))</f>
        <v>Bengaluru</v>
      </c>
      <c r="D970" s="4" t="str" cm="1">
        <f t="array" aca="1" ref="D970" ca="1">INDEX({"C-Class";"E-Class";"S-Class";"GLA";"GLC";"GLE";"GLS";"EQB"}, RANDBETWEEN(1,8))</f>
        <v>E-Class</v>
      </c>
      <c r="E970" s="4" t="str">
        <f t="shared" ca="1" si="136"/>
        <v>Sedan</v>
      </c>
      <c r="F970" s="4">
        <f t="shared" ca="1" si="137"/>
        <v>1</v>
      </c>
      <c r="G970" s="8">
        <f t="shared" ca="1" si="138"/>
        <v>7799350</v>
      </c>
      <c r="H970" s="8">
        <f t="shared" ca="1" si="139"/>
        <v>7799350</v>
      </c>
      <c r="I970" s="8">
        <f t="shared" ca="1" si="140"/>
        <v>6239480</v>
      </c>
      <c r="J970" s="8">
        <f t="shared" ca="1" si="141"/>
        <v>1559870</v>
      </c>
      <c r="K970" s="6">
        <f t="shared" ca="1" si="142"/>
        <v>0.2</v>
      </c>
      <c r="L970" s="4" t="str" cm="1">
        <f t="array" aca="1" ref="L970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70" s="8">
        <f t="shared" ca="1" si="143"/>
        <v>7830</v>
      </c>
      <c r="N970" s="4" t="str" cm="1">
        <f t="array" aca="1" ref="N970" ca="1">INDEX({"New";"Repeat"}, RANDBETWEEN(1,2))</f>
        <v>Repeat</v>
      </c>
      <c r="O970" s="4" t="str" cm="1">
        <f t="array" aca="1" ref="O970" ca="1">INDEX({"Loan";"Cash";"Lease"}, RANDBETWEEN(1,3))</f>
        <v>Lease</v>
      </c>
    </row>
    <row r="971" spans="1:15" x14ac:dyDescent="0.2">
      <c r="A971" s="4">
        <v>969</v>
      </c>
      <c r="B971" s="5">
        <f t="shared" ca="1" si="135"/>
        <v>45368</v>
      </c>
      <c r="C971" s="4" t="str" cm="1">
        <f t="array" aca="1" ref="C971" ca="1">INDEX({"Cochin";"Delhi";"Mumbai";"Pune";"Bengaluru"}, RANDBETWEEN(1,5))</f>
        <v>Bengaluru</v>
      </c>
      <c r="D971" s="4" t="str" cm="1">
        <f t="array" aca="1" ref="D971" ca="1">INDEX({"C-Class";"E-Class";"S-Class";"GLA";"GLC";"GLE";"GLS";"EQB"}, RANDBETWEEN(1,8))</f>
        <v>EQB</v>
      </c>
      <c r="E971" s="4" t="str">
        <f t="shared" ca="1" si="136"/>
        <v>EV</v>
      </c>
      <c r="F971" s="4">
        <f t="shared" ca="1" si="137"/>
        <v>5</v>
      </c>
      <c r="G971" s="8">
        <f t="shared" ca="1" si="138"/>
        <v>7460953</v>
      </c>
      <c r="H971" s="8">
        <f t="shared" ca="1" si="139"/>
        <v>37304765</v>
      </c>
      <c r="I971" s="8">
        <f t="shared" ca="1" si="140"/>
        <v>28724669.050000001</v>
      </c>
      <c r="J971" s="8">
        <f t="shared" ca="1" si="141"/>
        <v>8580095.9499999993</v>
      </c>
      <c r="K971" s="6">
        <f t="shared" ca="1" si="142"/>
        <v>0.22999999999999998</v>
      </c>
      <c r="L971" s="4" t="str" cm="1">
        <f t="array" aca="1" ref="L97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71" s="8">
        <f t="shared" ca="1" si="143"/>
        <v>4868</v>
      </c>
      <c r="N971" s="4" t="str" cm="1">
        <f t="array" aca="1" ref="N971" ca="1">INDEX({"New";"Repeat"}, RANDBETWEEN(1,2))</f>
        <v>Repeat</v>
      </c>
      <c r="O971" s="4" t="str" cm="1">
        <f t="array" aca="1" ref="O971" ca="1">INDEX({"Loan";"Cash";"Lease"}, RANDBETWEEN(1,3))</f>
        <v>Loan</v>
      </c>
    </row>
    <row r="972" spans="1:15" x14ac:dyDescent="0.2">
      <c r="A972" s="4">
        <v>970</v>
      </c>
      <c r="B972" s="5">
        <f t="shared" ca="1" si="135"/>
        <v>45566</v>
      </c>
      <c r="C972" s="4" t="str" cm="1">
        <f t="array" aca="1" ref="C972" ca="1">INDEX({"Cochin";"Delhi";"Mumbai";"Pune";"Bengaluru"}, RANDBETWEEN(1,5))</f>
        <v>Mumbai</v>
      </c>
      <c r="D972" s="4" t="str" cm="1">
        <f t="array" aca="1" ref="D972" ca="1">INDEX({"C-Class";"E-Class";"S-Class";"GLA";"GLC";"GLE";"GLS";"EQB"}, RANDBETWEEN(1,8))</f>
        <v>GLA</v>
      </c>
      <c r="E972" s="4" t="str">
        <f t="shared" ca="1" si="136"/>
        <v>SUV</v>
      </c>
      <c r="F972" s="4">
        <f t="shared" ca="1" si="137"/>
        <v>1</v>
      </c>
      <c r="G972" s="8">
        <f t="shared" ca="1" si="138"/>
        <v>4568796</v>
      </c>
      <c r="H972" s="8">
        <f t="shared" ca="1" si="139"/>
        <v>4568796</v>
      </c>
      <c r="I972" s="8">
        <f t="shared" ca="1" si="140"/>
        <v>3472284.96</v>
      </c>
      <c r="J972" s="8">
        <f t="shared" ca="1" si="141"/>
        <v>1096511.04</v>
      </c>
      <c r="K972" s="6">
        <f t="shared" ca="1" si="142"/>
        <v>0.24000000000000002</v>
      </c>
      <c r="L972" s="4" t="str" cm="1">
        <f t="array" aca="1" ref="L972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72" s="8">
        <f t="shared" ca="1" si="143"/>
        <v>5242</v>
      </c>
      <c r="N972" s="4" t="str" cm="1">
        <f t="array" aca="1" ref="N972" ca="1">INDEX({"New";"Repeat"}, RANDBETWEEN(1,2))</f>
        <v>Repeat</v>
      </c>
      <c r="O972" s="4" t="str" cm="1">
        <f t="array" aca="1" ref="O972" ca="1">INDEX({"Loan";"Cash";"Lease"}, RANDBETWEEN(1,3))</f>
        <v>Cash</v>
      </c>
    </row>
    <row r="973" spans="1:15" x14ac:dyDescent="0.2">
      <c r="A973" s="4">
        <v>971</v>
      </c>
      <c r="B973" s="5">
        <f t="shared" ca="1" si="135"/>
        <v>45421</v>
      </c>
      <c r="C973" s="4" t="str" cm="1">
        <f t="array" aca="1" ref="C973" ca="1">INDEX({"Cochin";"Delhi";"Mumbai";"Pune";"Bengaluru"}, RANDBETWEEN(1,5))</f>
        <v>Delhi</v>
      </c>
      <c r="D973" s="4" t="str" cm="1">
        <f t="array" aca="1" ref="D973" ca="1">INDEX({"C-Class";"E-Class";"S-Class";"GLA";"GLC";"GLE";"GLS";"EQB"}, RANDBETWEEN(1,8))</f>
        <v>GLE</v>
      </c>
      <c r="E973" s="4" t="str">
        <f t="shared" ca="1" si="136"/>
        <v>SUV</v>
      </c>
      <c r="F973" s="4">
        <f t="shared" ca="1" si="137"/>
        <v>2</v>
      </c>
      <c r="G973" s="8">
        <f t="shared" ca="1" si="138"/>
        <v>12480295</v>
      </c>
      <c r="H973" s="8">
        <f t="shared" ca="1" si="139"/>
        <v>24960590</v>
      </c>
      <c r="I973" s="8">
        <f t="shared" ca="1" si="140"/>
        <v>19718866.100000001</v>
      </c>
      <c r="J973" s="8">
        <f t="shared" ca="1" si="141"/>
        <v>5241723.8999999985</v>
      </c>
      <c r="K973" s="6">
        <f t="shared" ca="1" si="142"/>
        <v>0.20999999999999994</v>
      </c>
      <c r="L973" s="4" t="str" cm="1">
        <f t="array" aca="1" ref="L973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73" s="8">
        <f t="shared" ca="1" si="143"/>
        <v>5186</v>
      </c>
      <c r="N973" s="4" t="str" cm="1">
        <f t="array" aca="1" ref="N973" ca="1">INDEX({"New";"Repeat"}, RANDBETWEEN(1,2))</f>
        <v>Repeat</v>
      </c>
      <c r="O973" s="4" t="str" cm="1">
        <f t="array" aca="1" ref="O973" ca="1">INDEX({"Loan";"Cash";"Lease"}, RANDBETWEEN(1,3))</f>
        <v>Cash</v>
      </c>
    </row>
    <row r="974" spans="1:15" x14ac:dyDescent="0.2">
      <c r="A974" s="4">
        <v>972</v>
      </c>
      <c r="B974" s="5">
        <f t="shared" ca="1" si="135"/>
        <v>45461</v>
      </c>
      <c r="C974" s="4" t="str" cm="1">
        <f t="array" aca="1" ref="C974" ca="1">INDEX({"Cochin";"Delhi";"Mumbai";"Pune";"Bengaluru"}, RANDBETWEEN(1,5))</f>
        <v>Cochin</v>
      </c>
      <c r="D974" s="4" t="str" cm="1">
        <f t="array" aca="1" ref="D974" ca="1">INDEX({"C-Class";"E-Class";"S-Class";"GLA";"GLC";"GLE";"GLS";"EQB"}, RANDBETWEEN(1,8))</f>
        <v>GLS</v>
      </c>
      <c r="E974" s="4" t="str">
        <f t="shared" ca="1" si="136"/>
        <v>SUV</v>
      </c>
      <c r="F974" s="4">
        <f t="shared" ca="1" si="137"/>
        <v>4</v>
      </c>
      <c r="G974" s="8">
        <f t="shared" ca="1" si="138"/>
        <v>15321650</v>
      </c>
      <c r="H974" s="8">
        <f t="shared" ca="1" si="139"/>
        <v>61286600</v>
      </c>
      <c r="I974" s="8">
        <f t="shared" ca="1" si="140"/>
        <v>52093610</v>
      </c>
      <c r="J974" s="8">
        <f t="shared" ca="1" si="141"/>
        <v>9192990</v>
      </c>
      <c r="K974" s="6">
        <f t="shared" ca="1" si="142"/>
        <v>0.15</v>
      </c>
      <c r="L974" s="4" t="str" cm="1">
        <f t="array" aca="1" ref="L974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74" s="8">
        <f t="shared" ca="1" si="143"/>
        <v>3051</v>
      </c>
      <c r="N974" s="4" t="str" cm="1">
        <f t="array" aca="1" ref="N974" ca="1">INDEX({"New";"Repeat"}, RANDBETWEEN(1,2))</f>
        <v>Repeat</v>
      </c>
      <c r="O974" s="4" t="str" cm="1">
        <f t="array" aca="1" ref="O974" ca="1">INDEX({"Loan";"Cash";"Lease"}, RANDBETWEEN(1,3))</f>
        <v>Loan</v>
      </c>
    </row>
    <row r="975" spans="1:15" x14ac:dyDescent="0.2">
      <c r="A975" s="4">
        <v>973</v>
      </c>
      <c r="B975" s="5">
        <f t="shared" ca="1" si="135"/>
        <v>45458</v>
      </c>
      <c r="C975" s="4" t="str" cm="1">
        <f t="array" aca="1" ref="C975" ca="1">INDEX({"Cochin";"Delhi";"Mumbai";"Pune";"Bengaluru"}, RANDBETWEEN(1,5))</f>
        <v>Mumbai</v>
      </c>
      <c r="D975" s="4" t="str" cm="1">
        <f t="array" aca="1" ref="D975" ca="1">INDEX({"C-Class";"E-Class";"S-Class";"GLA";"GLC";"GLE";"GLS";"EQB"}, RANDBETWEEN(1,8))</f>
        <v>GLA</v>
      </c>
      <c r="E975" s="4" t="str">
        <f t="shared" ca="1" si="136"/>
        <v>SUV</v>
      </c>
      <c r="F975" s="4">
        <f t="shared" ca="1" si="137"/>
        <v>5</v>
      </c>
      <c r="G975" s="8">
        <f t="shared" ca="1" si="138"/>
        <v>4699938</v>
      </c>
      <c r="H975" s="8">
        <f t="shared" ca="1" si="139"/>
        <v>23499690</v>
      </c>
      <c r="I975" s="8">
        <f t="shared" ca="1" si="140"/>
        <v>16919776.800000001</v>
      </c>
      <c r="J975" s="8">
        <f t="shared" ca="1" si="141"/>
        <v>6579913.1999999993</v>
      </c>
      <c r="K975" s="6">
        <f t="shared" ca="1" si="142"/>
        <v>0.27999999999999997</v>
      </c>
      <c r="L975" s="4" t="str" cm="1">
        <f t="array" aca="1" ref="L975" ca="1">INDEX({"Arjun Menon";"Rohit Nair";"Aadil Syed";"Sanjay Reddy";"Amit Verma";"Rizwan Shah";"Ankit Mehta";"Pranav Rao";"Aiswarya Pillai";"Nabeel Khan";"Deepak Patil";"Neha Iyer";"Varun Khanna";"Aditya Desai";"Sneha Sharma"}, RANDBETWEEN(1,15))</f>
        <v>Pranav Rao</v>
      </c>
      <c r="M975" s="8">
        <f t="shared" ca="1" si="143"/>
        <v>3860</v>
      </c>
      <c r="N975" s="4" t="str" cm="1">
        <f t="array" aca="1" ref="N975" ca="1">INDEX({"New";"Repeat"}, RANDBETWEEN(1,2))</f>
        <v>Repeat</v>
      </c>
      <c r="O975" s="4" t="str" cm="1">
        <f t="array" aca="1" ref="O975" ca="1">INDEX({"Loan";"Cash";"Lease"}, RANDBETWEEN(1,3))</f>
        <v>Cash</v>
      </c>
    </row>
    <row r="976" spans="1:15" x14ac:dyDescent="0.2">
      <c r="A976" s="4">
        <v>974</v>
      </c>
      <c r="B976" s="5">
        <f t="shared" ca="1" si="135"/>
        <v>45772</v>
      </c>
      <c r="C976" s="4" t="str" cm="1">
        <f t="array" aca="1" ref="C976" ca="1">INDEX({"Cochin";"Delhi";"Mumbai";"Pune";"Bengaluru"}, RANDBETWEEN(1,5))</f>
        <v>Mumbai</v>
      </c>
      <c r="D976" s="4" t="str" cm="1">
        <f t="array" aca="1" ref="D976" ca="1">INDEX({"C-Class";"E-Class";"S-Class";"GLA";"GLC";"GLE";"GLS";"EQB"}, RANDBETWEEN(1,8))</f>
        <v>E-Class</v>
      </c>
      <c r="E976" s="4" t="str">
        <f t="shared" ca="1" si="136"/>
        <v>Sedan</v>
      </c>
      <c r="F976" s="4">
        <f t="shared" ca="1" si="137"/>
        <v>4</v>
      </c>
      <c r="G976" s="8">
        <f t="shared" ca="1" si="138"/>
        <v>7896443</v>
      </c>
      <c r="H976" s="8">
        <f t="shared" ca="1" si="139"/>
        <v>31585772</v>
      </c>
      <c r="I976" s="8">
        <f t="shared" ca="1" si="140"/>
        <v>26216190.760000002</v>
      </c>
      <c r="J976" s="8">
        <f t="shared" ca="1" si="141"/>
        <v>5369581.2399999984</v>
      </c>
      <c r="K976" s="6">
        <f t="shared" ca="1" si="142"/>
        <v>0.16999999999999996</v>
      </c>
      <c r="L976" s="4" t="str" cm="1">
        <f t="array" aca="1" ref="L976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76" s="8">
        <f t="shared" ca="1" si="143"/>
        <v>22666</v>
      </c>
      <c r="N976" s="4" t="str" cm="1">
        <f t="array" aca="1" ref="N976" ca="1">INDEX({"New";"Repeat"}, RANDBETWEEN(1,2))</f>
        <v>New</v>
      </c>
      <c r="O976" s="4" t="str" cm="1">
        <f t="array" aca="1" ref="O976" ca="1">INDEX({"Loan";"Cash";"Lease"}, RANDBETWEEN(1,3))</f>
        <v>Lease</v>
      </c>
    </row>
    <row r="977" spans="1:15" x14ac:dyDescent="0.2">
      <c r="A977" s="4">
        <v>975</v>
      </c>
      <c r="B977" s="5">
        <f t="shared" ca="1" si="135"/>
        <v>44996</v>
      </c>
      <c r="C977" s="4" t="str" cm="1">
        <f t="array" aca="1" ref="C977" ca="1">INDEX({"Cochin";"Delhi";"Mumbai";"Pune";"Bengaluru"}, RANDBETWEEN(1,5))</f>
        <v>Mumbai</v>
      </c>
      <c r="D977" s="4" t="str" cm="1">
        <f t="array" aca="1" ref="D977" ca="1">INDEX({"C-Class";"E-Class";"S-Class";"GLA";"GLC";"GLE";"GLS";"EQB"}, RANDBETWEEN(1,8))</f>
        <v>GLA</v>
      </c>
      <c r="E977" s="4" t="str">
        <f t="shared" ca="1" si="136"/>
        <v>SUV</v>
      </c>
      <c r="F977" s="4">
        <f t="shared" ca="1" si="137"/>
        <v>3</v>
      </c>
      <c r="G977" s="8">
        <f t="shared" ca="1" si="138"/>
        <v>4845725</v>
      </c>
      <c r="H977" s="8">
        <f t="shared" ca="1" si="139"/>
        <v>14537175</v>
      </c>
      <c r="I977" s="8">
        <f t="shared" ca="1" si="140"/>
        <v>11484368.25</v>
      </c>
      <c r="J977" s="8">
        <f t="shared" ca="1" si="141"/>
        <v>3052806.75</v>
      </c>
      <c r="K977" s="6">
        <f t="shared" ca="1" si="142"/>
        <v>0.21</v>
      </c>
      <c r="L977" s="4" t="str" cm="1">
        <f t="array" aca="1" ref="L97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77" s="8">
        <f t="shared" ca="1" si="143"/>
        <v>5047</v>
      </c>
      <c r="N977" s="4" t="str" cm="1">
        <f t="array" aca="1" ref="N977" ca="1">INDEX({"New";"Repeat"}, RANDBETWEEN(1,2))</f>
        <v>Repeat</v>
      </c>
      <c r="O977" s="4" t="str" cm="1">
        <f t="array" aca="1" ref="O977" ca="1">INDEX({"Loan";"Cash";"Lease"}, RANDBETWEEN(1,3))</f>
        <v>Cash</v>
      </c>
    </row>
    <row r="978" spans="1:15" x14ac:dyDescent="0.2">
      <c r="A978" s="4">
        <v>976</v>
      </c>
      <c r="B978" s="5">
        <f t="shared" ca="1" si="135"/>
        <v>45397</v>
      </c>
      <c r="C978" s="4" t="str" cm="1">
        <f t="array" aca="1" ref="C978" ca="1">INDEX({"Cochin";"Delhi";"Mumbai";"Pune";"Bengaluru"}, RANDBETWEEN(1,5))</f>
        <v>Cochin</v>
      </c>
      <c r="D978" s="4" t="str" cm="1">
        <f t="array" aca="1" ref="D978" ca="1">INDEX({"C-Class";"E-Class";"S-Class";"GLA";"GLC";"GLE";"GLS";"EQB"}, RANDBETWEEN(1,8))</f>
        <v>GLE</v>
      </c>
      <c r="E978" s="4" t="str">
        <f t="shared" ca="1" si="136"/>
        <v>SUV</v>
      </c>
      <c r="F978" s="4">
        <f t="shared" ca="1" si="137"/>
        <v>1</v>
      </c>
      <c r="G978" s="8">
        <f t="shared" ca="1" si="138"/>
        <v>9752436</v>
      </c>
      <c r="H978" s="8">
        <f t="shared" ca="1" si="139"/>
        <v>9752436</v>
      </c>
      <c r="I978" s="8">
        <f t="shared" ca="1" si="140"/>
        <v>6924229.5599999996</v>
      </c>
      <c r="J978" s="8">
        <f t="shared" ca="1" si="141"/>
        <v>2828206.4400000004</v>
      </c>
      <c r="K978" s="6">
        <f t="shared" ca="1" si="142"/>
        <v>0.29000000000000004</v>
      </c>
      <c r="L978" s="4" t="str" cm="1">
        <f t="array" aca="1" ref="L978" ca="1">INDEX({"Arjun Menon";"Rohit Nair";"Aadil Syed";"Sanjay Reddy";"Amit Verma";"Rizwan Shah";"Ankit Mehta";"Pranav Rao";"Aiswarya Pillai";"Nabeel Khan";"Deepak Patil";"Neha Iyer";"Varun Khanna";"Aditya Desai";"Sneha Sharma"}, RANDBETWEEN(1,15))</f>
        <v>Ankit Mehta</v>
      </c>
      <c r="M978" s="8">
        <f t="shared" ca="1" si="143"/>
        <v>3797</v>
      </c>
      <c r="N978" s="4" t="str" cm="1">
        <f t="array" aca="1" ref="N978" ca="1">INDEX({"New";"Repeat"}, RANDBETWEEN(1,2))</f>
        <v>Repeat</v>
      </c>
      <c r="O978" s="4" t="str" cm="1">
        <f t="array" aca="1" ref="O978" ca="1">INDEX({"Loan";"Cash";"Lease"}, RANDBETWEEN(1,3))</f>
        <v>Lease</v>
      </c>
    </row>
    <row r="979" spans="1:15" x14ac:dyDescent="0.2">
      <c r="A979" s="4">
        <v>977</v>
      </c>
      <c r="B979" s="5">
        <f t="shared" ca="1" si="135"/>
        <v>45852</v>
      </c>
      <c r="C979" s="4" t="str" cm="1">
        <f t="array" aca="1" ref="C979" ca="1">INDEX({"Cochin";"Delhi";"Mumbai";"Pune";"Bengaluru"}, RANDBETWEEN(1,5))</f>
        <v>Cochin</v>
      </c>
      <c r="D979" s="4" t="str" cm="1">
        <f t="array" aca="1" ref="D979" ca="1">INDEX({"C-Class";"E-Class";"S-Class";"GLA";"GLC";"GLE";"GLS";"EQB"}, RANDBETWEEN(1,8))</f>
        <v>GLC</v>
      </c>
      <c r="E979" s="4" t="str">
        <f t="shared" ca="1" si="136"/>
        <v>SUV</v>
      </c>
      <c r="F979" s="4">
        <f t="shared" ca="1" si="137"/>
        <v>2</v>
      </c>
      <c r="G979" s="8">
        <f t="shared" ca="1" si="138"/>
        <v>6609169</v>
      </c>
      <c r="H979" s="8">
        <f t="shared" ca="1" si="139"/>
        <v>13218338</v>
      </c>
      <c r="I979" s="8">
        <f t="shared" ca="1" si="140"/>
        <v>11103403.92</v>
      </c>
      <c r="J979" s="8">
        <f t="shared" ca="1" si="141"/>
        <v>2114934.08</v>
      </c>
      <c r="K979" s="6">
        <f t="shared" ca="1" si="142"/>
        <v>0.16</v>
      </c>
      <c r="L979" s="4" t="str" cm="1">
        <f t="array" aca="1" ref="L979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79" s="8">
        <f t="shared" ca="1" si="143"/>
        <v>7902</v>
      </c>
      <c r="N979" s="4" t="str" cm="1">
        <f t="array" aca="1" ref="N979" ca="1">INDEX({"New";"Repeat"}, RANDBETWEEN(1,2))</f>
        <v>Repeat</v>
      </c>
      <c r="O979" s="4" t="str" cm="1">
        <f t="array" aca="1" ref="O979" ca="1">INDEX({"Loan";"Cash";"Lease"}, RANDBETWEEN(1,3))</f>
        <v>Loan</v>
      </c>
    </row>
    <row r="980" spans="1:15" x14ac:dyDescent="0.2">
      <c r="A980" s="4">
        <v>978</v>
      </c>
      <c r="B980" s="5">
        <f t="shared" ca="1" si="135"/>
        <v>45565</v>
      </c>
      <c r="C980" s="4" t="str" cm="1">
        <f t="array" aca="1" ref="C980" ca="1">INDEX({"Cochin";"Delhi";"Mumbai";"Pune";"Bengaluru"}, RANDBETWEEN(1,5))</f>
        <v>Bengaluru</v>
      </c>
      <c r="D980" s="4" t="str" cm="1">
        <f t="array" aca="1" ref="D980" ca="1">INDEX({"C-Class";"E-Class";"S-Class";"GLA";"GLC";"GLE";"GLS";"EQB"}, RANDBETWEEN(1,8))</f>
        <v>S-Class</v>
      </c>
      <c r="E980" s="4" t="str">
        <f t="shared" ca="1" si="136"/>
        <v>Sedan</v>
      </c>
      <c r="F980" s="4">
        <f t="shared" ca="1" si="137"/>
        <v>2</v>
      </c>
      <c r="G980" s="8">
        <f t="shared" ca="1" si="138"/>
        <v>23534363</v>
      </c>
      <c r="H980" s="8">
        <f t="shared" ca="1" si="139"/>
        <v>47068726</v>
      </c>
      <c r="I980" s="8">
        <f t="shared" ca="1" si="140"/>
        <v>37654980.799999997</v>
      </c>
      <c r="J980" s="8">
        <f t="shared" ca="1" si="141"/>
        <v>9413745.200000003</v>
      </c>
      <c r="K980" s="6">
        <f t="shared" ca="1" si="142"/>
        <v>0.20000000000000007</v>
      </c>
      <c r="L980" s="4" t="str" cm="1">
        <f t="array" aca="1" ref="L98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80" s="8">
        <f t="shared" ca="1" si="143"/>
        <v>6071</v>
      </c>
      <c r="N980" s="4" t="str" cm="1">
        <f t="array" aca="1" ref="N980" ca="1">INDEX({"New";"Repeat"}, RANDBETWEEN(1,2))</f>
        <v>Repeat</v>
      </c>
      <c r="O980" s="4" t="str" cm="1">
        <f t="array" aca="1" ref="O980" ca="1">INDEX({"Loan";"Cash";"Lease"}, RANDBETWEEN(1,3))</f>
        <v>Lease</v>
      </c>
    </row>
    <row r="981" spans="1:15" x14ac:dyDescent="0.2">
      <c r="A981" s="4">
        <v>979</v>
      </c>
      <c r="B981" s="5">
        <f t="shared" ca="1" si="135"/>
        <v>45786</v>
      </c>
      <c r="C981" s="4" t="str" cm="1">
        <f t="array" aca="1" ref="C981" ca="1">INDEX({"Cochin";"Delhi";"Mumbai";"Pune";"Bengaluru"}, RANDBETWEEN(1,5))</f>
        <v>Pune</v>
      </c>
      <c r="D981" s="4" t="str" cm="1">
        <f t="array" aca="1" ref="D981" ca="1">INDEX({"C-Class";"E-Class";"S-Class";"GLA";"GLC";"GLE";"GLS";"EQB"}, RANDBETWEEN(1,8))</f>
        <v>S-Class</v>
      </c>
      <c r="E981" s="4" t="str">
        <f t="shared" ca="1" si="136"/>
        <v>Sedan</v>
      </c>
      <c r="F981" s="4">
        <f t="shared" ca="1" si="137"/>
        <v>2</v>
      </c>
      <c r="G981" s="8">
        <f t="shared" ca="1" si="138"/>
        <v>22597572</v>
      </c>
      <c r="H981" s="8">
        <f t="shared" ca="1" si="139"/>
        <v>45195144</v>
      </c>
      <c r="I981" s="8">
        <f t="shared" ca="1" si="140"/>
        <v>34800260.880000003</v>
      </c>
      <c r="J981" s="8">
        <f t="shared" ca="1" si="141"/>
        <v>10394883.119999997</v>
      </c>
      <c r="K981" s="6">
        <f t="shared" ca="1" si="142"/>
        <v>0.22999999999999995</v>
      </c>
      <c r="L981" s="4" t="str" cm="1">
        <f t="array" aca="1" ref="L981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81" s="8">
        <f t="shared" ca="1" si="143"/>
        <v>6595</v>
      </c>
      <c r="N981" s="4" t="str" cm="1">
        <f t="array" aca="1" ref="N981" ca="1">INDEX({"New";"Repeat"}, RANDBETWEEN(1,2))</f>
        <v>Repeat</v>
      </c>
      <c r="O981" s="4" t="str" cm="1">
        <f t="array" aca="1" ref="O981" ca="1">INDEX({"Loan";"Cash";"Lease"}, RANDBETWEEN(1,3))</f>
        <v>Loan</v>
      </c>
    </row>
    <row r="982" spans="1:15" x14ac:dyDescent="0.2">
      <c r="A982" s="4">
        <v>980</v>
      </c>
      <c r="B982" s="5">
        <f t="shared" ca="1" si="135"/>
        <v>45629</v>
      </c>
      <c r="C982" s="4" t="str" cm="1">
        <f t="array" aca="1" ref="C982" ca="1">INDEX({"Cochin";"Delhi";"Mumbai";"Pune";"Bengaluru"}, RANDBETWEEN(1,5))</f>
        <v>Delhi</v>
      </c>
      <c r="D982" s="4" t="str" cm="1">
        <f t="array" aca="1" ref="D982" ca="1">INDEX({"C-Class";"E-Class";"S-Class";"GLA";"GLC";"GLE";"GLS";"EQB"}, RANDBETWEEN(1,8))</f>
        <v>GLA</v>
      </c>
      <c r="E982" s="4" t="str">
        <f t="shared" ca="1" si="136"/>
        <v>SUV</v>
      </c>
      <c r="F982" s="4">
        <f t="shared" ca="1" si="137"/>
        <v>5</v>
      </c>
      <c r="G982" s="8">
        <f t="shared" ca="1" si="138"/>
        <v>5256424</v>
      </c>
      <c r="H982" s="8">
        <f t="shared" ca="1" si="139"/>
        <v>26282120</v>
      </c>
      <c r="I982" s="8">
        <f t="shared" ca="1" si="140"/>
        <v>20237232.399999999</v>
      </c>
      <c r="J982" s="8">
        <f t="shared" ca="1" si="141"/>
        <v>6044887.6000000015</v>
      </c>
      <c r="K982" s="6">
        <f t="shared" ca="1" si="142"/>
        <v>0.23000000000000007</v>
      </c>
      <c r="L982" s="4" t="str" cm="1">
        <f t="array" aca="1" ref="L982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82" s="8">
        <f t="shared" ca="1" si="143"/>
        <v>3300</v>
      </c>
      <c r="N982" s="4" t="str" cm="1">
        <f t="array" aca="1" ref="N982" ca="1">INDEX({"New";"Repeat"}, RANDBETWEEN(1,2))</f>
        <v>Repeat</v>
      </c>
      <c r="O982" s="4" t="str" cm="1">
        <f t="array" aca="1" ref="O982" ca="1">INDEX({"Loan";"Cash";"Lease"}, RANDBETWEEN(1,3))</f>
        <v>Cash</v>
      </c>
    </row>
    <row r="983" spans="1:15" x14ac:dyDescent="0.2">
      <c r="A983" s="4">
        <v>981</v>
      </c>
      <c r="B983" s="5">
        <f t="shared" ca="1" si="135"/>
        <v>45115</v>
      </c>
      <c r="C983" s="4" t="str" cm="1">
        <f t="array" aca="1" ref="C983" ca="1">INDEX({"Cochin";"Delhi";"Mumbai";"Pune";"Bengaluru"}, RANDBETWEEN(1,5))</f>
        <v>Bengaluru</v>
      </c>
      <c r="D983" s="4" t="str" cm="1">
        <f t="array" aca="1" ref="D983" ca="1">INDEX({"C-Class";"E-Class";"S-Class";"GLA";"GLC";"GLE";"GLS";"EQB"}, RANDBETWEEN(1,8))</f>
        <v>GLC</v>
      </c>
      <c r="E983" s="4" t="str">
        <f t="shared" ca="1" si="136"/>
        <v>SUV</v>
      </c>
      <c r="F983" s="4">
        <f t="shared" ca="1" si="137"/>
        <v>3</v>
      </c>
      <c r="G983" s="8">
        <f t="shared" ca="1" si="138"/>
        <v>7314164</v>
      </c>
      <c r="H983" s="8">
        <f t="shared" ca="1" si="139"/>
        <v>21942492</v>
      </c>
      <c r="I983" s="8">
        <f t="shared" ca="1" si="140"/>
        <v>17773418.52</v>
      </c>
      <c r="J983" s="8">
        <f t="shared" ca="1" si="141"/>
        <v>4169073.4800000004</v>
      </c>
      <c r="K983" s="6">
        <f t="shared" ca="1" si="142"/>
        <v>0.19000000000000003</v>
      </c>
      <c r="L983" s="4" t="str" cm="1">
        <f t="array" aca="1" ref="L983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83" s="8">
        <f t="shared" ca="1" si="143"/>
        <v>3807</v>
      </c>
      <c r="N983" s="4" t="str" cm="1">
        <f t="array" aca="1" ref="N983" ca="1">INDEX({"New";"Repeat"}, RANDBETWEEN(1,2))</f>
        <v>Repeat</v>
      </c>
      <c r="O983" s="4" t="str" cm="1">
        <f t="array" aca="1" ref="O983" ca="1">INDEX({"Loan";"Cash";"Lease"}, RANDBETWEEN(1,3))</f>
        <v>Lease</v>
      </c>
    </row>
    <row r="984" spans="1:15" x14ac:dyDescent="0.2">
      <c r="A984" s="4">
        <v>982</v>
      </c>
      <c r="B984" s="5">
        <f t="shared" ca="1" si="135"/>
        <v>45221</v>
      </c>
      <c r="C984" s="4" t="str" cm="1">
        <f t="array" aca="1" ref="C984" ca="1">INDEX({"Cochin";"Delhi";"Mumbai";"Pune";"Bengaluru"}, RANDBETWEEN(1,5))</f>
        <v>Delhi</v>
      </c>
      <c r="D984" s="4" t="str" cm="1">
        <f t="array" aca="1" ref="D984" ca="1">INDEX({"C-Class";"E-Class";"S-Class";"GLA";"GLC";"GLE";"GLS";"EQB"}, RANDBETWEEN(1,8))</f>
        <v>GLA</v>
      </c>
      <c r="E984" s="4" t="str">
        <f t="shared" ca="1" si="136"/>
        <v>SUV</v>
      </c>
      <c r="F984" s="4">
        <f t="shared" ca="1" si="137"/>
        <v>1</v>
      </c>
      <c r="G984" s="8">
        <f t="shared" ca="1" si="138"/>
        <v>5082326</v>
      </c>
      <c r="H984" s="8">
        <f t="shared" ca="1" si="139"/>
        <v>5082326</v>
      </c>
      <c r="I984" s="8">
        <f t="shared" ca="1" si="140"/>
        <v>3913391.02</v>
      </c>
      <c r="J984" s="8">
        <f t="shared" ca="1" si="141"/>
        <v>1168934.98</v>
      </c>
      <c r="K984" s="6">
        <f t="shared" ca="1" si="142"/>
        <v>0.23</v>
      </c>
      <c r="L984" s="4" t="str" cm="1">
        <f t="array" aca="1" ref="L984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84" s="8">
        <f t="shared" ca="1" si="143"/>
        <v>21152</v>
      </c>
      <c r="N984" s="4" t="str" cm="1">
        <f t="array" aca="1" ref="N984" ca="1">INDEX({"New";"Repeat"}, RANDBETWEEN(1,2))</f>
        <v>New</v>
      </c>
      <c r="O984" s="4" t="str" cm="1">
        <f t="array" aca="1" ref="O984" ca="1">INDEX({"Loan";"Cash";"Lease"}, RANDBETWEEN(1,3))</f>
        <v>Lease</v>
      </c>
    </row>
    <row r="985" spans="1:15" x14ac:dyDescent="0.2">
      <c r="A985" s="4">
        <v>983</v>
      </c>
      <c r="B985" s="5">
        <f t="shared" ca="1" si="135"/>
        <v>45277</v>
      </c>
      <c r="C985" s="4" t="str" cm="1">
        <f t="array" aca="1" ref="C985" ca="1">INDEX({"Cochin";"Delhi";"Mumbai";"Pune";"Bengaluru"}, RANDBETWEEN(1,5))</f>
        <v>Mumbai</v>
      </c>
      <c r="D985" s="4" t="str" cm="1">
        <f t="array" aca="1" ref="D985" ca="1">INDEX({"C-Class";"E-Class";"S-Class";"GLA";"GLC";"GLE";"GLS";"EQB"}, RANDBETWEEN(1,8))</f>
        <v>S-Class</v>
      </c>
      <c r="E985" s="4" t="str">
        <f t="shared" ca="1" si="136"/>
        <v>Sedan</v>
      </c>
      <c r="F985" s="4">
        <f t="shared" ca="1" si="137"/>
        <v>4</v>
      </c>
      <c r="G985" s="8">
        <f t="shared" ca="1" si="138"/>
        <v>15687080</v>
      </c>
      <c r="H985" s="8">
        <f t="shared" ca="1" si="139"/>
        <v>62748320</v>
      </c>
      <c r="I985" s="8">
        <f t="shared" ca="1" si="140"/>
        <v>50826139.200000003</v>
      </c>
      <c r="J985" s="8">
        <f t="shared" ca="1" si="141"/>
        <v>11922180.799999997</v>
      </c>
      <c r="K985" s="6">
        <f t="shared" ca="1" si="142"/>
        <v>0.18999999999999995</v>
      </c>
      <c r="L985" s="4" t="str" cm="1">
        <f t="array" aca="1" ref="L985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85" s="8">
        <f t="shared" ca="1" si="143"/>
        <v>16742</v>
      </c>
      <c r="N985" s="4" t="str" cm="1">
        <f t="array" aca="1" ref="N985" ca="1">INDEX({"New";"Repeat"}, RANDBETWEEN(1,2))</f>
        <v>New</v>
      </c>
      <c r="O985" s="4" t="str" cm="1">
        <f t="array" aca="1" ref="O985" ca="1">INDEX({"Loan";"Cash";"Lease"}, RANDBETWEEN(1,3))</f>
        <v>Loan</v>
      </c>
    </row>
    <row r="986" spans="1:15" x14ac:dyDescent="0.2">
      <c r="A986" s="4">
        <v>984</v>
      </c>
      <c r="B986" s="5">
        <f t="shared" ca="1" si="135"/>
        <v>44943</v>
      </c>
      <c r="C986" s="4" t="str" cm="1">
        <f t="array" aca="1" ref="C986" ca="1">INDEX({"Cochin";"Delhi";"Mumbai";"Pune";"Bengaluru"}, RANDBETWEEN(1,5))</f>
        <v>Cochin</v>
      </c>
      <c r="D986" s="4" t="str" cm="1">
        <f t="array" aca="1" ref="D986" ca="1">INDEX({"C-Class";"E-Class";"S-Class";"GLA";"GLC";"GLE";"GLS";"EQB"}, RANDBETWEEN(1,8))</f>
        <v>GLA</v>
      </c>
      <c r="E986" s="4" t="str">
        <f t="shared" ca="1" si="136"/>
        <v>SUV</v>
      </c>
      <c r="F986" s="4">
        <f t="shared" ca="1" si="137"/>
        <v>5</v>
      </c>
      <c r="G986" s="8">
        <f t="shared" ca="1" si="138"/>
        <v>4680211</v>
      </c>
      <c r="H986" s="8">
        <f t="shared" ca="1" si="139"/>
        <v>23401055</v>
      </c>
      <c r="I986" s="8">
        <f t="shared" ca="1" si="140"/>
        <v>19890896.75</v>
      </c>
      <c r="J986" s="8">
        <f t="shared" ca="1" si="141"/>
        <v>3510158.25</v>
      </c>
      <c r="K986" s="6">
        <f t="shared" ca="1" si="142"/>
        <v>0.15</v>
      </c>
      <c r="L986" s="4" t="str" cm="1">
        <f t="array" aca="1" ref="L986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986" s="8">
        <f t="shared" ca="1" si="143"/>
        <v>3198</v>
      </c>
      <c r="N986" s="4" t="str" cm="1">
        <f t="array" aca="1" ref="N986" ca="1">INDEX({"New";"Repeat"}, RANDBETWEEN(1,2))</f>
        <v>Repeat</v>
      </c>
      <c r="O986" s="4" t="str" cm="1">
        <f t="array" aca="1" ref="O986" ca="1">INDEX({"Loan";"Cash";"Lease"}, RANDBETWEEN(1,3))</f>
        <v>Cash</v>
      </c>
    </row>
    <row r="987" spans="1:15" x14ac:dyDescent="0.2">
      <c r="A987" s="4">
        <v>985</v>
      </c>
      <c r="B987" s="5">
        <f t="shared" ca="1" si="135"/>
        <v>45289</v>
      </c>
      <c r="C987" s="4" t="str" cm="1">
        <f t="array" aca="1" ref="C987" ca="1">INDEX({"Cochin";"Delhi";"Mumbai";"Pune";"Bengaluru"}, RANDBETWEEN(1,5))</f>
        <v>Mumbai</v>
      </c>
      <c r="D987" s="4" t="str" cm="1">
        <f t="array" aca="1" ref="D987" ca="1">INDEX({"C-Class";"E-Class";"S-Class";"GLA";"GLC";"GLE";"GLS";"EQB"}, RANDBETWEEN(1,8))</f>
        <v>S-Class</v>
      </c>
      <c r="E987" s="4" t="str">
        <f t="shared" ca="1" si="136"/>
        <v>Sedan</v>
      </c>
      <c r="F987" s="4">
        <f t="shared" ca="1" si="137"/>
        <v>5</v>
      </c>
      <c r="G987" s="8">
        <f t="shared" ca="1" si="138"/>
        <v>22155863</v>
      </c>
      <c r="H987" s="8">
        <f t="shared" ca="1" si="139"/>
        <v>110779315</v>
      </c>
      <c r="I987" s="8">
        <f t="shared" ca="1" si="140"/>
        <v>80868899.950000003</v>
      </c>
      <c r="J987" s="8">
        <f t="shared" ca="1" si="141"/>
        <v>29910415.049999997</v>
      </c>
      <c r="K987" s="6">
        <f t="shared" ca="1" si="142"/>
        <v>0.26999999999999996</v>
      </c>
      <c r="L987" s="4" t="str" cm="1">
        <f t="array" aca="1" ref="L987" ca="1">INDEX({"Arjun Menon";"Rohit Nair";"Aadil Syed";"Sanjay Reddy";"Amit Verma";"Rizwan Shah";"Ankit Mehta";"Pranav Rao";"Aiswarya Pillai";"Nabeel Khan";"Deepak Patil";"Neha Iyer";"Varun Khanna";"Aditya Desai";"Sneha Sharma"}, RANDBETWEEN(1,15))</f>
        <v>Arjun Menon</v>
      </c>
      <c r="M987" s="8">
        <f t="shared" ca="1" si="143"/>
        <v>11906</v>
      </c>
      <c r="N987" s="4" t="str" cm="1">
        <f t="array" aca="1" ref="N987" ca="1">INDEX({"New";"Repeat"}, RANDBETWEEN(1,2))</f>
        <v>New</v>
      </c>
      <c r="O987" s="4" t="str" cm="1">
        <f t="array" aca="1" ref="O987" ca="1">INDEX({"Loan";"Cash";"Lease"}, RANDBETWEEN(1,3))</f>
        <v>Lease</v>
      </c>
    </row>
    <row r="988" spans="1:15" x14ac:dyDescent="0.2">
      <c r="A988" s="4">
        <v>986</v>
      </c>
      <c r="B988" s="5">
        <f t="shared" ca="1" si="135"/>
        <v>45628</v>
      </c>
      <c r="C988" s="4" t="str" cm="1">
        <f t="array" aca="1" ref="C988" ca="1">INDEX({"Cochin";"Delhi";"Mumbai";"Pune";"Bengaluru"}, RANDBETWEEN(1,5))</f>
        <v>Delhi</v>
      </c>
      <c r="D988" s="4" t="str" cm="1">
        <f t="array" aca="1" ref="D988" ca="1">INDEX({"C-Class";"E-Class";"S-Class";"GLA";"GLC";"GLE";"GLS";"EQB"}, RANDBETWEEN(1,8))</f>
        <v>GLC</v>
      </c>
      <c r="E988" s="4" t="str">
        <f t="shared" ca="1" si="136"/>
        <v>SUV</v>
      </c>
      <c r="F988" s="4">
        <f t="shared" ca="1" si="137"/>
        <v>2</v>
      </c>
      <c r="G988" s="8">
        <f t="shared" ca="1" si="138"/>
        <v>7022044</v>
      </c>
      <c r="H988" s="8">
        <f t="shared" ca="1" si="139"/>
        <v>14044088</v>
      </c>
      <c r="I988" s="8">
        <f t="shared" ca="1" si="140"/>
        <v>10252184.24</v>
      </c>
      <c r="J988" s="8">
        <f t="shared" ca="1" si="141"/>
        <v>3791903.76</v>
      </c>
      <c r="K988" s="6">
        <f t="shared" ca="1" si="142"/>
        <v>0.26999999999999996</v>
      </c>
      <c r="L988" s="4" t="str" cm="1">
        <f t="array" aca="1" ref="L988" ca="1">INDEX({"Arjun Menon";"Rohit Nair";"Aadil Syed";"Sanjay Reddy";"Amit Verma";"Rizwan Shah";"Ankit Mehta";"Pranav Rao";"Aiswarya Pillai";"Nabeel Khan";"Deepak Patil";"Neha Iyer";"Varun Khanna";"Aditya Desai";"Sneha Sharma"}, RANDBETWEEN(1,15))</f>
        <v>Neha Iyer</v>
      </c>
      <c r="M988" s="8">
        <f t="shared" ca="1" si="143"/>
        <v>3303</v>
      </c>
      <c r="N988" s="4" t="str" cm="1">
        <f t="array" aca="1" ref="N988" ca="1">INDEX({"New";"Repeat"}, RANDBETWEEN(1,2))</f>
        <v>Repeat</v>
      </c>
      <c r="O988" s="4" t="str" cm="1">
        <f t="array" aca="1" ref="O988" ca="1">INDEX({"Loan";"Cash";"Lease"}, RANDBETWEEN(1,3))</f>
        <v>Loan</v>
      </c>
    </row>
    <row r="989" spans="1:15" x14ac:dyDescent="0.2">
      <c r="A989" s="4">
        <v>987</v>
      </c>
      <c r="B989" s="5">
        <f t="shared" ca="1" si="135"/>
        <v>45073</v>
      </c>
      <c r="C989" s="4" t="str" cm="1">
        <f t="array" aca="1" ref="C989" ca="1">INDEX({"Cochin";"Delhi";"Mumbai";"Pune";"Bengaluru"}, RANDBETWEEN(1,5))</f>
        <v>Bengaluru</v>
      </c>
      <c r="D989" s="4" t="str" cm="1">
        <f t="array" aca="1" ref="D989" ca="1">INDEX({"C-Class";"E-Class";"S-Class";"GLA";"GLC";"GLE";"GLS";"EQB"}, RANDBETWEEN(1,8))</f>
        <v>GLE</v>
      </c>
      <c r="E989" s="4" t="str">
        <f t="shared" ca="1" si="136"/>
        <v>SUV</v>
      </c>
      <c r="F989" s="4">
        <f t="shared" ca="1" si="137"/>
        <v>5</v>
      </c>
      <c r="G989" s="8">
        <f t="shared" ca="1" si="138"/>
        <v>10062009</v>
      </c>
      <c r="H989" s="8">
        <f t="shared" ca="1" si="139"/>
        <v>50310045</v>
      </c>
      <c r="I989" s="8">
        <f t="shared" ca="1" si="140"/>
        <v>40248036</v>
      </c>
      <c r="J989" s="8">
        <f t="shared" ca="1" si="141"/>
        <v>10062009</v>
      </c>
      <c r="K989" s="6">
        <f t="shared" ca="1" si="142"/>
        <v>0.2</v>
      </c>
      <c r="L989" s="4" t="str" cm="1">
        <f t="array" aca="1" ref="L989" ca="1">INDEX({"Arjun Menon";"Rohit Nair";"Aadil Syed";"Sanjay Reddy";"Amit Verma";"Rizwan Shah";"Ankit Mehta";"Pranav Rao";"Aiswarya Pillai";"Nabeel Khan";"Deepak Patil";"Neha Iyer";"Varun Khanna";"Aditya Desai";"Sneha Sharma"}, RANDBETWEEN(1,15))</f>
        <v>Sneha Sharma</v>
      </c>
      <c r="M989" s="8">
        <f t="shared" ca="1" si="143"/>
        <v>7954</v>
      </c>
      <c r="N989" s="4" t="str" cm="1">
        <f t="array" aca="1" ref="N989" ca="1">INDEX({"New";"Repeat"}, RANDBETWEEN(1,2))</f>
        <v>Repeat</v>
      </c>
      <c r="O989" s="4" t="str" cm="1">
        <f t="array" aca="1" ref="O989" ca="1">INDEX({"Loan";"Cash";"Lease"}, RANDBETWEEN(1,3))</f>
        <v>Lease</v>
      </c>
    </row>
    <row r="990" spans="1:15" x14ac:dyDescent="0.2">
      <c r="A990" s="4">
        <v>988</v>
      </c>
      <c r="B990" s="5">
        <f t="shared" ca="1" si="135"/>
        <v>45897</v>
      </c>
      <c r="C990" s="4" t="str" cm="1">
        <f t="array" aca="1" ref="C990" ca="1">INDEX({"Cochin";"Delhi";"Mumbai";"Pune";"Bengaluru"}, RANDBETWEEN(1,5))</f>
        <v>Mumbai</v>
      </c>
      <c r="D990" s="4" t="str" cm="1">
        <f t="array" aca="1" ref="D990" ca="1">INDEX({"C-Class";"E-Class";"S-Class";"GLA";"GLC";"GLE";"GLS";"EQB"}, RANDBETWEEN(1,8))</f>
        <v>E-Class</v>
      </c>
      <c r="E990" s="4" t="str">
        <f t="shared" ca="1" si="136"/>
        <v>Sedan</v>
      </c>
      <c r="F990" s="4">
        <f t="shared" ca="1" si="137"/>
        <v>4</v>
      </c>
      <c r="G990" s="8">
        <f t="shared" ca="1" si="138"/>
        <v>8487927</v>
      </c>
      <c r="H990" s="8">
        <f t="shared" ca="1" si="139"/>
        <v>33951708</v>
      </c>
      <c r="I990" s="8">
        <f t="shared" ca="1" si="140"/>
        <v>27840400.559999999</v>
      </c>
      <c r="J990" s="8">
        <f t="shared" ca="1" si="141"/>
        <v>6111307.4400000013</v>
      </c>
      <c r="K990" s="6">
        <f t="shared" ca="1" si="142"/>
        <v>0.18000000000000005</v>
      </c>
      <c r="L990" s="4" t="str" cm="1">
        <f t="array" aca="1" ref="L990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90" s="8">
        <f t="shared" ca="1" si="143"/>
        <v>21953</v>
      </c>
      <c r="N990" s="4" t="str" cm="1">
        <f t="array" aca="1" ref="N990" ca="1">INDEX({"New";"Repeat"}, RANDBETWEEN(1,2))</f>
        <v>New</v>
      </c>
      <c r="O990" s="4" t="str" cm="1">
        <f t="array" aca="1" ref="O990" ca="1">INDEX({"Loan";"Cash";"Lease"}, RANDBETWEEN(1,3))</f>
        <v>Loan</v>
      </c>
    </row>
    <row r="991" spans="1:15" x14ac:dyDescent="0.2">
      <c r="A991" s="4">
        <v>989</v>
      </c>
      <c r="B991" s="5">
        <f t="shared" ca="1" si="135"/>
        <v>45623</v>
      </c>
      <c r="C991" s="4" t="str" cm="1">
        <f t="array" aca="1" ref="C991" ca="1">INDEX({"Cochin";"Delhi";"Mumbai";"Pune";"Bengaluru"}, RANDBETWEEN(1,5))</f>
        <v>Bengaluru</v>
      </c>
      <c r="D991" s="4" t="str" cm="1">
        <f t="array" aca="1" ref="D991" ca="1">INDEX({"C-Class";"E-Class";"S-Class";"GLA";"GLC";"GLE";"GLS";"EQB"}, RANDBETWEEN(1,8))</f>
        <v>S-Class</v>
      </c>
      <c r="E991" s="4" t="str">
        <f t="shared" ca="1" si="136"/>
        <v>Sedan</v>
      </c>
      <c r="F991" s="4">
        <f t="shared" ca="1" si="137"/>
        <v>2</v>
      </c>
      <c r="G991" s="8">
        <f t="shared" ca="1" si="138"/>
        <v>16389047</v>
      </c>
      <c r="H991" s="8">
        <f t="shared" ca="1" si="139"/>
        <v>32778094</v>
      </c>
      <c r="I991" s="8">
        <f t="shared" ca="1" si="140"/>
        <v>22944665.800000001</v>
      </c>
      <c r="J991" s="8">
        <f t="shared" ca="1" si="141"/>
        <v>9833428.1999999993</v>
      </c>
      <c r="K991" s="6">
        <f t="shared" ca="1" si="142"/>
        <v>0.3</v>
      </c>
      <c r="L991" s="4" t="str" cm="1">
        <f t="array" aca="1" ref="L991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91" s="8">
        <f t="shared" ca="1" si="143"/>
        <v>7416</v>
      </c>
      <c r="N991" s="4" t="str" cm="1">
        <f t="array" aca="1" ref="N991" ca="1">INDEX({"New";"Repeat"}, RANDBETWEEN(1,2))</f>
        <v>Repeat</v>
      </c>
      <c r="O991" s="4" t="str" cm="1">
        <f t="array" aca="1" ref="O991" ca="1">INDEX({"Loan";"Cash";"Lease"}, RANDBETWEEN(1,3))</f>
        <v>Lease</v>
      </c>
    </row>
    <row r="992" spans="1:15" x14ac:dyDescent="0.2">
      <c r="A992" s="4">
        <v>990</v>
      </c>
      <c r="B992" s="5">
        <f t="shared" ca="1" si="135"/>
        <v>45267</v>
      </c>
      <c r="C992" s="4" t="str" cm="1">
        <f t="array" aca="1" ref="C992" ca="1">INDEX({"Cochin";"Delhi";"Mumbai";"Pune";"Bengaluru"}, RANDBETWEEN(1,5))</f>
        <v>Mumbai</v>
      </c>
      <c r="D992" s="4" t="str" cm="1">
        <f t="array" aca="1" ref="D992" ca="1">INDEX({"C-Class";"E-Class";"S-Class";"GLA";"GLC";"GLE";"GLS";"EQB"}, RANDBETWEEN(1,8))</f>
        <v>C-Class</v>
      </c>
      <c r="E992" s="4" t="str">
        <f t="shared" ca="1" si="136"/>
        <v>Sedan</v>
      </c>
      <c r="F992" s="4">
        <f t="shared" ca="1" si="137"/>
        <v>3</v>
      </c>
      <c r="G992" s="8">
        <f t="shared" ca="1" si="138"/>
        <v>6659662</v>
      </c>
      <c r="H992" s="8">
        <f t="shared" ca="1" si="139"/>
        <v>19978986</v>
      </c>
      <c r="I992" s="8">
        <f t="shared" ca="1" si="140"/>
        <v>14384869.92</v>
      </c>
      <c r="J992" s="8">
        <f t="shared" ca="1" si="141"/>
        <v>5594116.0800000001</v>
      </c>
      <c r="K992" s="6">
        <f t="shared" ca="1" si="142"/>
        <v>0.28000000000000003</v>
      </c>
      <c r="L992" s="4" t="str" cm="1">
        <f t="array" aca="1" ref="L992" ca="1">INDEX({"Arjun Menon";"Rohit Nair";"Aadil Syed";"Sanjay Reddy";"Amit Verma";"Rizwan Shah";"Ankit Mehta";"Pranav Rao";"Aiswarya Pillai";"Nabeel Khan";"Deepak Patil";"Neha Iyer";"Varun Khanna";"Aditya Desai";"Sneha Sharma"}, RANDBETWEEN(1,15))</f>
        <v>Rohit Nair</v>
      </c>
      <c r="M992" s="8">
        <f t="shared" ca="1" si="143"/>
        <v>24365</v>
      </c>
      <c r="N992" s="4" t="str" cm="1">
        <f t="array" aca="1" ref="N992" ca="1">INDEX({"New";"Repeat"}, RANDBETWEEN(1,2))</f>
        <v>New</v>
      </c>
      <c r="O992" s="4" t="str" cm="1">
        <f t="array" aca="1" ref="O992" ca="1">INDEX({"Loan";"Cash";"Lease"}, RANDBETWEEN(1,3))</f>
        <v>Cash</v>
      </c>
    </row>
    <row r="993" spans="1:15" x14ac:dyDescent="0.2">
      <c r="A993" s="4">
        <v>991</v>
      </c>
      <c r="B993" s="5">
        <f t="shared" ca="1" si="135"/>
        <v>45349</v>
      </c>
      <c r="C993" s="4" t="str" cm="1">
        <f t="array" aca="1" ref="C993" ca="1">INDEX({"Cochin";"Delhi";"Mumbai";"Pune";"Bengaluru"}, RANDBETWEEN(1,5))</f>
        <v>Cochin</v>
      </c>
      <c r="D993" s="4" t="str" cm="1">
        <f t="array" aca="1" ref="D993" ca="1">INDEX({"C-Class";"E-Class";"S-Class";"GLA";"GLC";"GLE";"GLS";"EQB"}, RANDBETWEEN(1,8))</f>
        <v>E-Class</v>
      </c>
      <c r="E993" s="4" t="str">
        <f t="shared" ca="1" si="136"/>
        <v>Sedan</v>
      </c>
      <c r="F993" s="4">
        <f t="shared" ca="1" si="137"/>
        <v>5</v>
      </c>
      <c r="G993" s="8">
        <f t="shared" ca="1" si="138"/>
        <v>8640581</v>
      </c>
      <c r="H993" s="8">
        <f t="shared" ca="1" si="139"/>
        <v>43202905</v>
      </c>
      <c r="I993" s="8">
        <f t="shared" ca="1" si="140"/>
        <v>33266236.850000001</v>
      </c>
      <c r="J993" s="8">
        <f t="shared" ca="1" si="141"/>
        <v>9936668.1499999985</v>
      </c>
      <c r="K993" s="6">
        <f t="shared" ca="1" si="142"/>
        <v>0.22999999999999995</v>
      </c>
      <c r="L993" s="4" t="str" cm="1">
        <f t="array" aca="1" ref="L993" ca="1">INDEX({"Arjun Menon";"Rohit Nair";"Aadil Syed";"Sanjay Reddy";"Amit Verma";"Rizwan Shah";"Ankit Mehta";"Pranav Rao";"Aiswarya Pillai";"Nabeel Khan";"Deepak Patil";"Neha Iyer";"Varun Khanna";"Aditya Desai";"Sneha Sharma"}, RANDBETWEEN(1,15))</f>
        <v>Rizwan Shah</v>
      </c>
      <c r="M993" s="8">
        <f t="shared" ca="1" si="143"/>
        <v>6156</v>
      </c>
      <c r="N993" s="4" t="str" cm="1">
        <f t="array" aca="1" ref="N993" ca="1">INDEX({"New";"Repeat"}, RANDBETWEEN(1,2))</f>
        <v>Repeat</v>
      </c>
      <c r="O993" s="4" t="str" cm="1">
        <f t="array" aca="1" ref="O993" ca="1">INDEX({"Loan";"Cash";"Lease"}, RANDBETWEEN(1,3))</f>
        <v>Lease</v>
      </c>
    </row>
    <row r="994" spans="1:15" x14ac:dyDescent="0.2">
      <c r="A994" s="4">
        <v>992</v>
      </c>
      <c r="B994" s="5">
        <f t="shared" ca="1" si="135"/>
        <v>45324</v>
      </c>
      <c r="C994" s="4" t="str" cm="1">
        <f t="array" aca="1" ref="C994" ca="1">INDEX({"Cochin";"Delhi";"Mumbai";"Pune";"Bengaluru"}, RANDBETWEEN(1,5))</f>
        <v>Delhi</v>
      </c>
      <c r="D994" s="4" t="str" cm="1">
        <f t="array" aca="1" ref="D994" ca="1">INDEX({"C-Class";"E-Class";"S-Class";"GLA";"GLC";"GLE";"GLS";"EQB"}, RANDBETWEEN(1,8))</f>
        <v>S-Class</v>
      </c>
      <c r="E994" s="4" t="str">
        <f t="shared" ca="1" si="136"/>
        <v>Sedan</v>
      </c>
      <c r="F994" s="4">
        <f t="shared" ca="1" si="137"/>
        <v>4</v>
      </c>
      <c r="G994" s="8">
        <f t="shared" ca="1" si="138"/>
        <v>22029174</v>
      </c>
      <c r="H994" s="8">
        <f t="shared" ca="1" si="139"/>
        <v>88116696</v>
      </c>
      <c r="I994" s="8">
        <f t="shared" ca="1" si="140"/>
        <v>66968688.960000001</v>
      </c>
      <c r="J994" s="8">
        <f t="shared" ca="1" si="141"/>
        <v>21148007.039999999</v>
      </c>
      <c r="K994" s="6">
        <f t="shared" ca="1" si="142"/>
        <v>0.24</v>
      </c>
      <c r="L994" s="4" t="str" cm="1">
        <f t="array" aca="1" ref="L994" ca="1">INDEX({"Arjun Menon";"Rohit Nair";"Aadil Syed";"Sanjay Reddy";"Amit Verma";"Rizwan Shah";"Ankit Mehta";"Pranav Rao";"Aiswarya Pillai";"Nabeel Khan";"Deepak Patil";"Neha Iyer";"Varun Khanna";"Aditya Desai";"Sneha Sharma"}, RANDBETWEEN(1,15))</f>
        <v>Deepak Patil</v>
      </c>
      <c r="M994" s="8">
        <f t="shared" ca="1" si="143"/>
        <v>6380</v>
      </c>
      <c r="N994" s="4" t="str" cm="1">
        <f t="array" aca="1" ref="N994" ca="1">INDEX({"New";"Repeat"}, RANDBETWEEN(1,2))</f>
        <v>Repeat</v>
      </c>
      <c r="O994" s="4" t="str" cm="1">
        <f t="array" aca="1" ref="O994" ca="1">INDEX({"Loan";"Cash";"Lease"}, RANDBETWEEN(1,3))</f>
        <v>Lease</v>
      </c>
    </row>
    <row r="995" spans="1:15" x14ac:dyDescent="0.2">
      <c r="A995" s="4">
        <v>993</v>
      </c>
      <c r="B995" s="5">
        <f t="shared" ca="1" si="135"/>
        <v>45658</v>
      </c>
      <c r="C995" s="4" t="str" cm="1">
        <f t="array" aca="1" ref="C995" ca="1">INDEX({"Cochin";"Delhi";"Mumbai";"Pune";"Bengaluru"}, RANDBETWEEN(1,5))</f>
        <v>Mumbai</v>
      </c>
      <c r="D995" s="4" t="str" cm="1">
        <f t="array" aca="1" ref="D995" ca="1">INDEX({"C-Class";"E-Class";"S-Class";"GLA";"GLC";"GLE";"GLS";"EQB"}, RANDBETWEEN(1,8))</f>
        <v>GLS</v>
      </c>
      <c r="E995" s="4" t="str">
        <f t="shared" ca="1" si="136"/>
        <v>SUV</v>
      </c>
      <c r="F995" s="4">
        <f t="shared" ca="1" si="137"/>
        <v>3</v>
      </c>
      <c r="G995" s="8">
        <f t="shared" ca="1" si="138"/>
        <v>15801383</v>
      </c>
      <c r="H995" s="8">
        <f t="shared" ca="1" si="139"/>
        <v>47404149</v>
      </c>
      <c r="I995" s="8">
        <f t="shared" ca="1" si="140"/>
        <v>37449277.710000001</v>
      </c>
      <c r="J995" s="8">
        <f t="shared" ca="1" si="141"/>
        <v>9954871.2899999991</v>
      </c>
      <c r="K995" s="6">
        <f t="shared" ca="1" si="142"/>
        <v>0.21</v>
      </c>
      <c r="L995" s="4" t="str" cm="1">
        <f t="array" aca="1" ref="L995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95" s="8">
        <f t="shared" ca="1" si="143"/>
        <v>14464</v>
      </c>
      <c r="N995" s="4" t="str" cm="1">
        <f t="array" aca="1" ref="N995" ca="1">INDEX({"New";"Repeat"}, RANDBETWEEN(1,2))</f>
        <v>New</v>
      </c>
      <c r="O995" s="4" t="str" cm="1">
        <f t="array" aca="1" ref="O995" ca="1">INDEX({"Loan";"Cash";"Lease"}, RANDBETWEEN(1,3))</f>
        <v>Loan</v>
      </c>
    </row>
    <row r="996" spans="1:15" x14ac:dyDescent="0.2">
      <c r="A996" s="4">
        <v>994</v>
      </c>
      <c r="B996" s="5">
        <f t="shared" ca="1" si="135"/>
        <v>45577</v>
      </c>
      <c r="C996" s="4" t="str" cm="1">
        <f t="array" aca="1" ref="C996" ca="1">INDEX({"Cochin";"Delhi";"Mumbai";"Pune";"Bengaluru"}, RANDBETWEEN(1,5))</f>
        <v>Mumbai</v>
      </c>
      <c r="D996" s="4" t="str" cm="1">
        <f t="array" aca="1" ref="D996" ca="1">INDEX({"C-Class";"E-Class";"S-Class";"GLA";"GLC";"GLE";"GLS";"EQB"}, RANDBETWEEN(1,8))</f>
        <v>GLE</v>
      </c>
      <c r="E996" s="4" t="str">
        <f t="shared" ca="1" si="136"/>
        <v>SUV</v>
      </c>
      <c r="F996" s="4">
        <f t="shared" ca="1" si="137"/>
        <v>2</v>
      </c>
      <c r="G996" s="8">
        <f t="shared" ca="1" si="138"/>
        <v>12001002</v>
      </c>
      <c r="H996" s="8">
        <f t="shared" ca="1" si="139"/>
        <v>24002004</v>
      </c>
      <c r="I996" s="8">
        <f t="shared" ca="1" si="140"/>
        <v>16801402.800000001</v>
      </c>
      <c r="J996" s="8">
        <f t="shared" ca="1" si="141"/>
        <v>7200601.1999999993</v>
      </c>
      <c r="K996" s="6">
        <f t="shared" ca="1" si="142"/>
        <v>0.3</v>
      </c>
      <c r="L996" s="4" t="str" cm="1">
        <f t="array" aca="1" ref="L996" ca="1">INDEX({"Arjun Menon";"Rohit Nair";"Aadil Syed";"Sanjay Reddy";"Amit Verma";"Rizwan Shah";"Ankit Mehta";"Pranav Rao";"Aiswarya Pillai";"Nabeel Khan";"Deepak Patil";"Neha Iyer";"Varun Khanna";"Aditya Desai";"Sneha Sharma"}, RANDBETWEEN(1,15))</f>
        <v>Amit Verma</v>
      </c>
      <c r="M996" s="8">
        <f t="shared" ca="1" si="143"/>
        <v>3440</v>
      </c>
      <c r="N996" s="4" t="str" cm="1">
        <f t="array" aca="1" ref="N996" ca="1">INDEX({"New";"Repeat"}, RANDBETWEEN(1,2))</f>
        <v>Repeat</v>
      </c>
      <c r="O996" s="4" t="str" cm="1">
        <f t="array" aca="1" ref="O996" ca="1">INDEX({"Loan";"Cash";"Lease"}, RANDBETWEEN(1,3))</f>
        <v>Lease</v>
      </c>
    </row>
    <row r="997" spans="1:15" x14ac:dyDescent="0.2">
      <c r="A997" s="4">
        <v>995</v>
      </c>
      <c r="B997" s="5">
        <f t="shared" ca="1" si="135"/>
        <v>45769</v>
      </c>
      <c r="C997" s="4" t="str" cm="1">
        <f t="array" aca="1" ref="C997" ca="1">INDEX({"Cochin";"Delhi";"Mumbai";"Pune";"Bengaluru"}, RANDBETWEEN(1,5))</f>
        <v>Cochin</v>
      </c>
      <c r="D997" s="4" t="str" cm="1">
        <f t="array" aca="1" ref="D997" ca="1">INDEX({"C-Class";"E-Class";"S-Class";"GLA";"GLC";"GLE";"GLS";"EQB"}, RANDBETWEEN(1,8))</f>
        <v>GLA</v>
      </c>
      <c r="E997" s="4" t="str">
        <f t="shared" ca="1" si="136"/>
        <v>SUV</v>
      </c>
      <c r="F997" s="4">
        <f t="shared" ca="1" si="137"/>
        <v>3</v>
      </c>
      <c r="G997" s="8">
        <f t="shared" ca="1" si="138"/>
        <v>5349274</v>
      </c>
      <c r="H997" s="8">
        <f t="shared" ca="1" si="139"/>
        <v>16047822</v>
      </c>
      <c r="I997" s="8">
        <f t="shared" ca="1" si="140"/>
        <v>12677779.380000001</v>
      </c>
      <c r="J997" s="8">
        <f t="shared" ca="1" si="141"/>
        <v>3370042.6199999992</v>
      </c>
      <c r="K997" s="6">
        <f t="shared" ca="1" si="142"/>
        <v>0.20999999999999994</v>
      </c>
      <c r="L997" s="4" t="str" cm="1">
        <f t="array" aca="1" ref="L997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997" s="8">
        <f t="shared" ca="1" si="143"/>
        <v>5774</v>
      </c>
      <c r="N997" s="4" t="str" cm="1">
        <f t="array" aca="1" ref="N997" ca="1">INDEX({"New";"Repeat"}, RANDBETWEEN(1,2))</f>
        <v>Repeat</v>
      </c>
      <c r="O997" s="4" t="str" cm="1">
        <f t="array" aca="1" ref="O997" ca="1">INDEX({"Loan";"Cash";"Lease"}, RANDBETWEEN(1,3))</f>
        <v>Cash</v>
      </c>
    </row>
    <row r="998" spans="1:15" x14ac:dyDescent="0.2">
      <c r="A998" s="4">
        <v>996</v>
      </c>
      <c r="B998" s="5">
        <f t="shared" ca="1" si="135"/>
        <v>45332</v>
      </c>
      <c r="C998" s="4" t="str" cm="1">
        <f t="array" aca="1" ref="C998" ca="1">INDEX({"Cochin";"Delhi";"Mumbai";"Pune";"Bengaluru"}, RANDBETWEEN(1,5))</f>
        <v>Delhi</v>
      </c>
      <c r="D998" s="4" t="str" cm="1">
        <f t="array" aca="1" ref="D998" ca="1">INDEX({"C-Class";"E-Class";"S-Class";"GLA";"GLC";"GLE";"GLS";"EQB"}, RANDBETWEEN(1,8))</f>
        <v>S-Class</v>
      </c>
      <c r="E998" s="4" t="str">
        <f t="shared" ca="1" si="136"/>
        <v>Sedan</v>
      </c>
      <c r="F998" s="4">
        <f t="shared" ca="1" si="137"/>
        <v>3</v>
      </c>
      <c r="G998" s="8">
        <f t="shared" ca="1" si="138"/>
        <v>24855825</v>
      </c>
      <c r="H998" s="8">
        <f t="shared" ca="1" si="139"/>
        <v>74567475</v>
      </c>
      <c r="I998" s="8">
        <f t="shared" ca="1" si="140"/>
        <v>63382353.75</v>
      </c>
      <c r="J998" s="8">
        <f t="shared" ca="1" si="141"/>
        <v>11185121.25</v>
      </c>
      <c r="K998" s="6">
        <f t="shared" ca="1" si="142"/>
        <v>0.15</v>
      </c>
      <c r="L998" s="4" t="str" cm="1">
        <f t="array" aca="1" ref="L998" ca="1">INDEX({"Arjun Menon";"Rohit Nair";"Aadil Syed";"Sanjay Reddy";"Amit Verma";"Rizwan Shah";"Ankit Mehta";"Pranav Rao";"Aiswarya Pillai";"Nabeel Khan";"Deepak Patil";"Neha Iyer";"Varun Khanna";"Aditya Desai";"Sneha Sharma"}, RANDBETWEEN(1,15))</f>
        <v>Aditya Desai</v>
      </c>
      <c r="M998" s="8">
        <f t="shared" ca="1" si="143"/>
        <v>5842</v>
      </c>
      <c r="N998" s="4" t="str" cm="1">
        <f t="array" aca="1" ref="N998" ca="1">INDEX({"New";"Repeat"}, RANDBETWEEN(1,2))</f>
        <v>Repeat</v>
      </c>
      <c r="O998" s="4" t="str" cm="1">
        <f t="array" aca="1" ref="O998" ca="1">INDEX({"Loan";"Cash";"Lease"}, RANDBETWEEN(1,3))</f>
        <v>Cash</v>
      </c>
    </row>
    <row r="999" spans="1:15" x14ac:dyDescent="0.2">
      <c r="A999" s="4">
        <v>997</v>
      </c>
      <c r="B999" s="5">
        <f t="shared" ca="1" si="135"/>
        <v>45284</v>
      </c>
      <c r="C999" s="4" t="str" cm="1">
        <f t="array" aca="1" ref="C999" ca="1">INDEX({"Cochin";"Delhi";"Mumbai";"Pune";"Bengaluru"}, RANDBETWEEN(1,5))</f>
        <v>Bengaluru</v>
      </c>
      <c r="D999" s="4" t="str" cm="1">
        <f t="array" aca="1" ref="D999" ca="1">INDEX({"C-Class";"E-Class";"S-Class";"GLA";"GLC";"GLE";"GLS";"EQB"}, RANDBETWEEN(1,8))</f>
        <v>GLE</v>
      </c>
      <c r="E999" s="4" t="str">
        <f t="shared" ca="1" si="136"/>
        <v>SUV</v>
      </c>
      <c r="F999" s="4">
        <f t="shared" ca="1" si="137"/>
        <v>1</v>
      </c>
      <c r="G999" s="8">
        <f t="shared" ca="1" si="138"/>
        <v>12955129</v>
      </c>
      <c r="H999" s="8">
        <f t="shared" ca="1" si="139"/>
        <v>12955129</v>
      </c>
      <c r="I999" s="8">
        <f t="shared" ca="1" si="140"/>
        <v>9845898.0399999991</v>
      </c>
      <c r="J999" s="8">
        <f t="shared" ca="1" si="141"/>
        <v>3109230.9600000009</v>
      </c>
      <c r="K999" s="6">
        <f t="shared" ca="1" si="142"/>
        <v>0.24000000000000007</v>
      </c>
      <c r="L999" s="4" t="str" cm="1">
        <f t="array" aca="1" ref="L999" ca="1">INDEX({"Arjun Menon";"Rohit Nair";"Aadil Syed";"Sanjay Reddy";"Amit Verma";"Rizwan Shah";"Ankit Mehta";"Pranav Rao";"Aiswarya Pillai";"Nabeel Khan";"Deepak Patil";"Neha Iyer";"Varun Khanna";"Aditya Desai";"Sneha Sharma"}, RANDBETWEEN(1,15))</f>
        <v>Aiswarya Pillai</v>
      </c>
      <c r="M999" s="8">
        <f t="shared" ca="1" si="143"/>
        <v>18664</v>
      </c>
      <c r="N999" s="4" t="str" cm="1">
        <f t="array" aca="1" ref="N999" ca="1">INDEX({"New";"Repeat"}, RANDBETWEEN(1,2))</f>
        <v>New</v>
      </c>
      <c r="O999" s="4" t="str" cm="1">
        <f t="array" aca="1" ref="O999" ca="1">INDEX({"Loan";"Cash";"Lease"}, RANDBETWEEN(1,3))</f>
        <v>Cash</v>
      </c>
    </row>
    <row r="1000" spans="1:15" x14ac:dyDescent="0.2">
      <c r="A1000" s="4">
        <v>998</v>
      </c>
      <c r="B1000" s="5">
        <f t="shared" ca="1" si="135"/>
        <v>45757</v>
      </c>
      <c r="C1000" s="4" t="str" cm="1">
        <f t="array" aca="1" ref="C1000" ca="1">INDEX({"Cochin";"Delhi";"Mumbai";"Pune";"Bengaluru"}, RANDBETWEEN(1,5))</f>
        <v>Mumbai</v>
      </c>
      <c r="D1000" s="4" t="str" cm="1">
        <f t="array" aca="1" ref="D1000" ca="1">INDEX({"C-Class";"E-Class";"S-Class";"GLA";"GLC";"GLE";"GLS";"EQB"}, RANDBETWEEN(1,8))</f>
        <v>GLC</v>
      </c>
      <c r="E1000" s="4" t="str">
        <f t="shared" ca="1" si="136"/>
        <v>SUV</v>
      </c>
      <c r="F1000" s="4">
        <f t="shared" ca="1" si="137"/>
        <v>3</v>
      </c>
      <c r="G1000" s="8">
        <f t="shared" ca="1" si="138"/>
        <v>7337183</v>
      </c>
      <c r="H1000" s="8">
        <f t="shared" ca="1" si="139"/>
        <v>22011549</v>
      </c>
      <c r="I1000" s="8">
        <f t="shared" ca="1" si="140"/>
        <v>15408084.300000001</v>
      </c>
      <c r="J1000" s="8">
        <f t="shared" ca="1" si="141"/>
        <v>6603464.6999999993</v>
      </c>
      <c r="K1000" s="6">
        <f t="shared" ca="1" si="142"/>
        <v>0.3</v>
      </c>
      <c r="L1000" s="4" t="str" cm="1">
        <f t="array" aca="1" ref="L1000" ca="1">INDEX({"Arjun Menon";"Rohit Nair";"Aadil Syed";"Sanjay Reddy";"Amit Verma";"Rizwan Shah";"Ankit Mehta";"Pranav Rao";"Aiswarya Pillai";"Nabeel Khan";"Deepak Patil";"Neha Iyer";"Varun Khanna";"Aditya Desai";"Sneha Sharma"}, RANDBETWEEN(1,15))</f>
        <v>Nabeel Khan</v>
      </c>
      <c r="M1000" s="8">
        <f t="shared" ca="1" si="143"/>
        <v>19617</v>
      </c>
      <c r="N1000" s="4" t="str" cm="1">
        <f t="array" aca="1" ref="N1000" ca="1">INDEX({"New";"Repeat"}, RANDBETWEEN(1,2))</f>
        <v>New</v>
      </c>
      <c r="O1000" s="4" t="str" cm="1">
        <f t="array" aca="1" ref="O1000" ca="1">INDEX({"Loan";"Cash";"Lease"}, RANDBETWEEN(1,3))</f>
        <v>Lease</v>
      </c>
    </row>
    <row r="1001" spans="1:15" x14ac:dyDescent="0.2">
      <c r="A1001" s="4">
        <v>999</v>
      </c>
      <c r="B1001" s="5">
        <f t="shared" ca="1" si="135"/>
        <v>45337</v>
      </c>
      <c r="C1001" s="4" t="str" cm="1">
        <f t="array" aca="1" ref="C1001" ca="1">INDEX({"Cochin";"Delhi";"Mumbai";"Pune";"Bengaluru"}, RANDBETWEEN(1,5))</f>
        <v>Bengaluru</v>
      </c>
      <c r="D1001" s="4" t="str" cm="1">
        <f t="array" aca="1" ref="D1001" ca="1">INDEX({"C-Class";"E-Class";"S-Class";"GLA";"GLC";"GLE";"GLS";"EQB"}, RANDBETWEEN(1,8))</f>
        <v>GLE</v>
      </c>
      <c r="E1001" s="4" t="str">
        <f t="shared" ca="1" si="136"/>
        <v>SUV</v>
      </c>
      <c r="F1001" s="4">
        <f t="shared" ca="1" si="137"/>
        <v>3</v>
      </c>
      <c r="G1001" s="8">
        <f t="shared" ca="1" si="138"/>
        <v>12880703</v>
      </c>
      <c r="H1001" s="8">
        <f t="shared" ca="1" si="139"/>
        <v>38642109</v>
      </c>
      <c r="I1001" s="8">
        <f t="shared" ca="1" si="140"/>
        <v>30140845.02</v>
      </c>
      <c r="J1001" s="8">
        <f t="shared" ca="1" si="141"/>
        <v>8501263.9800000004</v>
      </c>
      <c r="K1001" s="6">
        <f t="shared" ca="1" si="142"/>
        <v>0.22</v>
      </c>
      <c r="L1001" s="4" t="str" cm="1">
        <f t="array" aca="1" ref="L1001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001" s="8">
        <f t="shared" ca="1" si="143"/>
        <v>6352</v>
      </c>
      <c r="N1001" s="4" t="str" cm="1">
        <f t="array" aca="1" ref="N1001" ca="1">INDEX({"New";"Repeat"}, RANDBETWEEN(1,2))</f>
        <v>Repeat</v>
      </c>
      <c r="O1001" s="4" t="str" cm="1">
        <f t="array" aca="1" ref="O1001" ca="1">INDEX({"Loan";"Cash";"Lease"}, RANDBETWEEN(1,3))</f>
        <v>Cash</v>
      </c>
    </row>
    <row r="1002" spans="1:15" x14ac:dyDescent="0.2">
      <c r="A1002" s="4">
        <v>1000</v>
      </c>
      <c r="B1002" s="5">
        <f t="shared" ca="1" si="135"/>
        <v>45486</v>
      </c>
      <c r="C1002" s="4" t="str" cm="1">
        <f t="array" aca="1" ref="C1002" ca="1">INDEX({"Cochin";"Delhi";"Mumbai";"Pune";"Bengaluru"}, RANDBETWEEN(1,5))</f>
        <v>Mumbai</v>
      </c>
      <c r="D1002" s="4" t="str" cm="1">
        <f t="array" aca="1" ref="D1002" ca="1">INDEX({"C-Class";"E-Class";"S-Class";"GLA";"GLC";"GLE";"GLS";"EQB"}, RANDBETWEEN(1,8))</f>
        <v>GLC</v>
      </c>
      <c r="E1002" s="4" t="str">
        <f t="shared" ca="1" si="136"/>
        <v>SUV</v>
      </c>
      <c r="F1002" s="4">
        <f t="shared" ca="1" si="137"/>
        <v>3</v>
      </c>
      <c r="G1002" s="8">
        <f t="shared" ca="1" si="138"/>
        <v>7492506</v>
      </c>
      <c r="H1002" s="8">
        <f t="shared" ca="1" si="139"/>
        <v>22477518</v>
      </c>
      <c r="I1002" s="8">
        <f t="shared" ca="1" si="140"/>
        <v>16633363.32</v>
      </c>
      <c r="J1002" s="8">
        <f t="shared" ca="1" si="141"/>
        <v>5844154.6799999997</v>
      </c>
      <c r="K1002" s="6">
        <f t="shared" ca="1" si="142"/>
        <v>0.26</v>
      </c>
      <c r="L1002" s="4" t="str" cm="1">
        <f t="array" aca="1" ref="L1002" ca="1">INDEX({"Arjun Menon";"Rohit Nair";"Aadil Syed";"Sanjay Reddy";"Amit Verma";"Rizwan Shah";"Ankit Mehta";"Pranav Rao";"Aiswarya Pillai";"Nabeel Khan";"Deepak Patil";"Neha Iyer";"Varun Khanna";"Aditya Desai";"Sneha Sharma"}, RANDBETWEEN(1,15))</f>
        <v>Varun Khanna</v>
      </c>
      <c r="M1002" s="8">
        <f t="shared" ca="1" si="143"/>
        <v>4414</v>
      </c>
      <c r="N1002" s="4" t="str" cm="1">
        <f t="array" aca="1" ref="N1002" ca="1">INDEX({"New";"Repeat"}, RANDBETWEEN(1,2))</f>
        <v>Repeat</v>
      </c>
      <c r="O1002" s="4" t="str" cm="1">
        <f t="array" aca="1" ref="O1002" ca="1">INDEX({"Loan";"Cash";"Lease"}, RANDBETWEEN(1,3))</f>
        <v>Lease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abhinavmenon920@gmail.com</dc:creator>
  <cp:lastModifiedBy>abhinavmenon920@gmail.com</cp:lastModifiedBy>
  <dcterms:created xsi:type="dcterms:W3CDTF">2025-12-10T19:00:14Z</dcterms:created>
  <dcterms:modified xsi:type="dcterms:W3CDTF">2025-12-12T20:47:51Z</dcterms:modified>
</cp:coreProperties>
</file>